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codeName="ЭтаКнига"/>
  <xr:revisionPtr revIDLastSave="0" documentId="13_ncr:1_{6E37E50E-8E0A-4E59-8CBD-B2B5FCF79B3F}" xr6:coauthVersionLast="47" xr6:coauthVersionMax="47" xr10:uidLastSave="{00000000-0000-0000-0000-000000000000}"/>
  <bookViews>
    <workbookView xWindow="-120" yWindow="-120" windowWidth="29040" windowHeight="15840" tabRatio="923" xr2:uid="{00000000-000D-0000-FFFF-FFFF00000000}"/>
  </bookViews>
  <sheets>
    <sheet name="Дог." sheetId="1" r:id="rId1"/>
    <sheet name="Пр №1" sheetId="2" r:id="rId2"/>
    <sheet name="Акт прием" sheetId="3" r:id="rId3"/>
    <sheet name="Акт расч" sheetId="11" r:id="rId4"/>
    <sheet name="Акт возв" sheetId="8" r:id="rId5"/>
    <sheet name="Акт слом" sheetId="9" r:id="rId6"/>
    <sheet name="Обяз" sheetId="26" r:id="rId7"/>
    <sheet name="Счет " sheetId="12" r:id="rId8"/>
    <sheet name="Фактура" sheetId="25" r:id="rId9"/>
    <sheet name="ПКО" sheetId="15" r:id="rId10"/>
    <sheet name="РКО" sheetId="29" r:id="rId11"/>
    <sheet name="Пасп Доп Данные" sheetId="13" r:id="rId12"/>
    <sheet name="Треб1" sheetId="27" r:id="rId13"/>
    <sheet name="Треб2" sheetId="28" r:id="rId14"/>
    <sheet name="Обоснование" sheetId="30" r:id="rId15"/>
    <sheet name="Письма" sheetId="21" r:id="rId16"/>
    <sheet name="В милицию" sheetId="18" r:id="rId17"/>
    <sheet name="Фразы для Ватсапа" sheetId="24" r:id="rId18"/>
  </sheets>
  <externalReferences>
    <externalReference r:id="rId19"/>
    <externalReference r:id="rId20"/>
  </externalReferences>
  <definedNames>
    <definedName name="_xlnm.Print_Area" localSheetId="2">'Акт прием'!$A$1:$Q$52</definedName>
    <definedName name="_xlnm.Print_Area" localSheetId="3">'Акт расч'!$A$1:$Q$78</definedName>
    <definedName name="_xlnm.Print_Area" localSheetId="0">Дог.!$A$1:$P$140</definedName>
    <definedName name="_xlnm.Print_Area" localSheetId="14">Обоснование!$A$1:$D$42</definedName>
    <definedName name="_xlnm.Print_Area" localSheetId="6">Обяз!$A$1:$L$50</definedName>
    <definedName name="_xlnm.Print_Area" localSheetId="11">'Пасп Доп Данные'!$A$1:$K$24</definedName>
    <definedName name="_xlnm.Print_Area" localSheetId="15">Письма!$A$1:$I$67</definedName>
    <definedName name="_xlnm.Print_Area" localSheetId="9">ПКО!$A$1:$CT$38</definedName>
    <definedName name="_xlnm.Print_Area" localSheetId="1">'Пр №1'!$A$1:$Q$68</definedName>
    <definedName name="_xlnm.Print_Area" localSheetId="10">РКО!$A$1:$DJ$35</definedName>
    <definedName name="_xlnm.Print_Area" localSheetId="7">'Счет '!$A$1:$Q$64</definedName>
    <definedName name="_xlnm.Print_Area" localSheetId="12">Треб1!$A$45:$M$92</definedName>
    <definedName name="_xlnm.Print_Area" localSheetId="8">Фактура!$A$1:$Q$64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4" i="2" l="1"/>
  <c r="P26" i="2"/>
  <c r="P28" i="2"/>
  <c r="P20" i="2"/>
  <c r="N23" i="3"/>
  <c r="N24" i="3"/>
  <c r="N25" i="3"/>
  <c r="C49" i="18"/>
  <c r="F4" i="18"/>
  <c r="G158" i="28"/>
  <c r="G95" i="28"/>
  <c r="H101" i="28"/>
  <c r="H51" i="28"/>
  <c r="J23" i="26"/>
  <c r="F19" i="26"/>
  <c r="G25" i="26"/>
  <c r="P10" i="12"/>
  <c r="C21" i="30" l="1"/>
  <c r="C8" i="30"/>
  <c r="D7" i="30"/>
  <c r="C7" i="30"/>
  <c r="D6" i="30"/>
  <c r="C6" i="30"/>
  <c r="C4" i="30"/>
  <c r="C3" i="30"/>
  <c r="C1" i="30"/>
  <c r="N11" i="25"/>
  <c r="L11" i="25"/>
  <c r="A8" i="15"/>
  <c r="B59" i="25"/>
  <c r="A59" i="25"/>
  <c r="B59" i="12"/>
  <c r="A59" i="12"/>
  <c r="B62" i="9"/>
  <c r="A62" i="9"/>
  <c r="B53" i="8"/>
  <c r="A53" i="8"/>
  <c r="B71" i="11"/>
  <c r="A71" i="11"/>
  <c r="B47" i="3"/>
  <c r="A47" i="3"/>
  <c r="CQ11" i="29"/>
  <c r="CT10" i="15"/>
  <c r="AZ15" i="15"/>
  <c r="O13" i="12"/>
  <c r="O5" i="12"/>
  <c r="J44" i="9"/>
  <c r="N42" i="9"/>
  <c r="J43" i="9"/>
  <c r="J17" i="9"/>
  <c r="O18" i="9"/>
  <c r="O5" i="9"/>
  <c r="J17" i="8"/>
  <c r="O18" i="8"/>
  <c r="O5" i="8"/>
  <c r="O17" i="11"/>
  <c r="O5" i="11"/>
  <c r="O18" i="3"/>
  <c r="J17" i="3"/>
  <c r="O5" i="3"/>
  <c r="J16" i="2"/>
  <c r="P17" i="2"/>
  <c r="N3" i="2"/>
  <c r="N10" i="1"/>
  <c r="A53" i="18"/>
  <c r="BP17" i="15"/>
  <c r="AO19" i="29" s="1"/>
  <c r="BW16" i="15"/>
  <c r="R19" i="29" s="1"/>
  <c r="E29" i="30" l="1"/>
  <c r="B29" i="30" s="1"/>
  <c r="B24" i="30"/>
  <c r="E24" i="30"/>
  <c r="E28" i="30" s="1"/>
  <c r="B28" i="30" s="1"/>
  <c r="J20" i="2"/>
  <c r="CQ15" i="29"/>
  <c r="W2" i="15"/>
  <c r="A8" i="29"/>
  <c r="AV15" i="29"/>
  <c r="AA15" i="29"/>
  <c r="H15" i="29"/>
  <c r="BG32" i="29"/>
  <c r="A32" i="29"/>
  <c r="CP30" i="29"/>
  <c r="BU30" i="29"/>
  <c r="BL30" i="29"/>
  <c r="BG30" i="29"/>
  <c r="AY30" i="29"/>
  <c r="AS30" i="29"/>
  <c r="AJ30" i="29"/>
  <c r="Z30" i="29"/>
  <c r="V30" i="29"/>
  <c r="R30" i="29"/>
  <c r="CT6" i="29"/>
  <c r="A6" i="29"/>
  <c r="N21" i="3"/>
  <c r="P46" i="11" s="1"/>
  <c r="G153" i="28"/>
  <c r="J4" i="28"/>
  <c r="J103" i="28" s="1"/>
  <c r="G149" i="27"/>
  <c r="J4" i="27"/>
  <c r="J48" i="27" s="1"/>
  <c r="J96" i="27" s="1"/>
  <c r="R9" i="1" a="1"/>
  <c r="R9" i="1" s="1"/>
  <c r="A22" i="26"/>
  <c r="E26" i="30" l="1"/>
  <c r="E25" i="30"/>
  <c r="B25" i="30" s="1"/>
  <c r="J53" i="28"/>
  <c r="L29" i="2"/>
  <c r="C54" i="21"/>
  <c r="A24" i="21"/>
  <c r="G32" i="21" s="1"/>
  <c r="F23" i="21"/>
  <c r="A27" i="21" s="1"/>
  <c r="A32" i="21" s="1"/>
  <c r="E20" i="21"/>
  <c r="E27" i="30" l="1"/>
  <c r="B27" i="30" s="1"/>
  <c r="B26" i="30"/>
  <c r="J24" i="11"/>
  <c r="H19" i="12" s="1"/>
  <c r="J26" i="11"/>
  <c r="J28" i="11"/>
  <c r="J22" i="11"/>
  <c r="H18" i="12" s="1"/>
  <c r="B28" i="11"/>
  <c r="B21" i="12" s="1"/>
  <c r="B26" i="11"/>
  <c r="B20" i="12" s="1"/>
  <c r="B24" i="11"/>
  <c r="B19" i="12" s="1"/>
  <c r="B22" i="11"/>
  <c r="B18" i="12" s="1"/>
  <c r="N26" i="12"/>
  <c r="N25" i="12"/>
  <c r="N24" i="12"/>
  <c r="N23" i="12"/>
  <c r="N22" i="12"/>
  <c r="N21" i="12"/>
  <c r="N20" i="12"/>
  <c r="N19" i="12"/>
  <c r="N18" i="12"/>
  <c r="L26" i="12"/>
  <c r="L25" i="12"/>
  <c r="L24" i="12"/>
  <c r="L23" i="12"/>
  <c r="L22" i="12"/>
  <c r="L21" i="12"/>
  <c r="L20" i="12"/>
  <c r="L19" i="12"/>
  <c r="L18" i="12"/>
  <c r="L30" i="11"/>
  <c r="J22" i="12" s="1"/>
  <c r="L32" i="11"/>
  <c r="J23" i="12" s="1"/>
  <c r="L34" i="11"/>
  <c r="J24" i="12" s="1"/>
  <c r="L36" i="11"/>
  <c r="P36" i="11" s="1"/>
  <c r="P25" i="12" s="1"/>
  <c r="L38" i="11"/>
  <c r="J26" i="12" s="1"/>
  <c r="H26" i="12"/>
  <c r="H25" i="12"/>
  <c r="H24" i="12"/>
  <c r="H23" i="12"/>
  <c r="H22" i="12"/>
  <c r="B26" i="12"/>
  <c r="B25" i="12"/>
  <c r="B24" i="12"/>
  <c r="B23" i="12"/>
  <c r="B22" i="12"/>
  <c r="P44" i="11"/>
  <c r="J25" i="12" l="1"/>
  <c r="P38" i="11"/>
  <c r="P26" i="12" s="1"/>
  <c r="H20" i="12"/>
  <c r="P34" i="11"/>
  <c r="P24" i="12" s="1"/>
  <c r="H21" i="12"/>
  <c r="P32" i="11"/>
  <c r="P23" i="12" s="1"/>
  <c r="P30" i="11"/>
  <c r="P22" i="12" s="1"/>
  <c r="D15" i="26"/>
  <c r="CG36" i="15" l="1"/>
  <c r="AK25" i="29" s="1"/>
  <c r="O54" i="28" l="1"/>
  <c r="O104" i="28" s="1"/>
  <c r="O49" i="27"/>
  <c r="O97" i="27" s="1"/>
  <c r="A119" i="28"/>
  <c r="F110" i="28"/>
  <c r="A69" i="28"/>
  <c r="F60" i="28"/>
  <c r="A20" i="28"/>
  <c r="L11" i="28"/>
  <c r="L60" i="28" s="1"/>
  <c r="L110" i="28" s="1"/>
  <c r="F11" i="28"/>
  <c r="B20" i="2"/>
  <c r="D49" i="13"/>
  <c r="C49" i="13"/>
  <c r="E47" i="13" l="1"/>
  <c r="H47" i="13"/>
  <c r="C53" i="13"/>
  <c r="C56" i="13" s="1"/>
  <c r="C59" i="13" s="1"/>
  <c r="C62" i="13" s="1"/>
  <c r="C48" i="13"/>
  <c r="G47" i="13"/>
  <c r="D47" i="13"/>
  <c r="C47" i="13"/>
  <c r="M40" i="13"/>
  <c r="K40" i="13"/>
  <c r="F55" i="18"/>
  <c r="H104" i="18"/>
  <c r="I52" i="18"/>
  <c r="F104" i="18" s="1"/>
  <c r="I50" i="18"/>
  <c r="D50" i="18"/>
  <c r="A57" i="18" s="1"/>
  <c r="G111" i="18" s="1"/>
  <c r="B113" i="18" s="1"/>
  <c r="P27" i="25"/>
  <c r="P28" i="25"/>
  <c r="P29" i="25"/>
  <c r="P30" i="25"/>
  <c r="P31" i="25"/>
  <c r="N27" i="25"/>
  <c r="N28" i="25"/>
  <c r="N29" i="25"/>
  <c r="N30" i="25"/>
  <c r="N31" i="25"/>
  <c r="L27" i="25"/>
  <c r="L28" i="25"/>
  <c r="L29" i="25"/>
  <c r="L30" i="25"/>
  <c r="L31" i="25"/>
  <c r="J27" i="25"/>
  <c r="J28" i="25"/>
  <c r="J29" i="25"/>
  <c r="J30" i="25"/>
  <c r="J31" i="25"/>
  <c r="H27" i="25"/>
  <c r="H28" i="25"/>
  <c r="H29" i="25"/>
  <c r="H30" i="25"/>
  <c r="H31" i="25"/>
  <c r="B27" i="25"/>
  <c r="B28" i="25"/>
  <c r="B29" i="25"/>
  <c r="B30" i="25"/>
  <c r="B31" i="25"/>
  <c r="J22" i="25"/>
  <c r="J24" i="25"/>
  <c r="J26" i="25"/>
  <c r="P22" i="25"/>
  <c r="P23" i="25"/>
  <c r="P24" i="25"/>
  <c r="P25" i="25"/>
  <c r="P26" i="25"/>
  <c r="N18" i="25"/>
  <c r="N19" i="25"/>
  <c r="N20" i="25"/>
  <c r="N21" i="25"/>
  <c r="N22" i="25"/>
  <c r="N23" i="25"/>
  <c r="N24" i="25"/>
  <c r="N25" i="25"/>
  <c r="N26" i="25"/>
  <c r="L18" i="25"/>
  <c r="L19" i="25"/>
  <c r="L20" i="25"/>
  <c r="L21" i="25"/>
  <c r="L22" i="25"/>
  <c r="L23" i="25"/>
  <c r="L24" i="25"/>
  <c r="L25" i="25"/>
  <c r="L26" i="25"/>
  <c r="L17" i="12"/>
  <c r="L17" i="25" s="1"/>
  <c r="B18" i="25"/>
  <c r="B20" i="25"/>
  <c r="B22" i="25"/>
  <c r="B24" i="25"/>
  <c r="B26" i="25"/>
  <c r="H18" i="25"/>
  <c r="H20" i="25"/>
  <c r="H22" i="25"/>
  <c r="H24" i="25"/>
  <c r="H26" i="25"/>
  <c r="A111" i="27" l="1"/>
  <c r="F103" i="27"/>
  <c r="A63" i="27"/>
  <c r="F55" i="27"/>
  <c r="A19" i="27"/>
  <c r="A34" i="2"/>
  <c r="L11" i="27" l="1"/>
  <c r="F11" i="27"/>
  <c r="L55" i="27" l="1"/>
  <c r="L103" i="27" s="1"/>
  <c r="G29" i="8"/>
  <c r="G27" i="8"/>
  <c r="H21" i="25"/>
  <c r="H23" i="25"/>
  <c r="H25" i="25"/>
  <c r="H19" i="25"/>
  <c r="J20" i="11"/>
  <c r="H17" i="12" s="1"/>
  <c r="H17" i="25" s="1"/>
  <c r="B25" i="25"/>
  <c r="B23" i="25"/>
  <c r="B21" i="25"/>
  <c r="B19" i="25"/>
  <c r="G19" i="11" l="1"/>
  <c r="F19" i="11"/>
  <c r="D17" i="26" l="1"/>
  <c r="F15" i="26"/>
  <c r="C15" i="26"/>
  <c r="C16" i="26"/>
  <c r="E14" i="26"/>
  <c r="C14" i="26"/>
  <c r="S12" i="1" a="1"/>
  <c r="S12" i="1" s="1"/>
  <c r="S9" i="1" a="1"/>
  <c r="S9" i="1" s="1"/>
  <c r="R12" i="1" a="1"/>
  <c r="R12" i="1" s="1"/>
  <c r="I47" i="13" l="1"/>
  <c r="A54" i="18"/>
  <c r="B108" i="18" s="1"/>
  <c r="G23" i="8"/>
  <c r="G25" i="8"/>
  <c r="B23" i="8"/>
  <c r="B23" i="9" s="1"/>
  <c r="B37" i="9" s="1"/>
  <c r="B25" i="8"/>
  <c r="B25" i="9" s="1"/>
  <c r="B27" i="8"/>
  <c r="B27" i="9" s="1"/>
  <c r="B29" i="8"/>
  <c r="B29" i="9" s="1"/>
  <c r="N23" i="8"/>
  <c r="N25" i="8"/>
  <c r="N27" i="8"/>
  <c r="N29" i="8"/>
  <c r="N21" i="8"/>
  <c r="L23" i="8"/>
  <c r="L25" i="8"/>
  <c r="L27" i="8"/>
  <c r="L29" i="8"/>
  <c r="K23" i="8"/>
  <c r="K23" i="9" s="1"/>
  <c r="G37" i="9" s="1"/>
  <c r="K25" i="8"/>
  <c r="K27" i="8"/>
  <c r="K29" i="8"/>
  <c r="K21" i="8"/>
  <c r="K21" i="9" s="1"/>
  <c r="N23" i="9"/>
  <c r="N25" i="9"/>
  <c r="N27" i="9"/>
  <c r="N29" i="9"/>
  <c r="N21" i="9"/>
  <c r="B36" i="9"/>
  <c r="B39" i="9"/>
  <c r="G36" i="9"/>
  <c r="G39" i="9"/>
  <c r="N40" i="9"/>
  <c r="G29" i="9"/>
  <c r="G27" i="9"/>
  <c r="G25" i="9"/>
  <c r="G21" i="9"/>
  <c r="P29" i="8" l="1"/>
  <c r="P27" i="8"/>
  <c r="P25" i="8"/>
  <c r="K29" i="9"/>
  <c r="K27" i="9"/>
  <c r="K25" i="9"/>
  <c r="P23" i="8"/>
  <c r="C18" i="26"/>
  <c r="A11" i="26" l="1"/>
  <c r="C10" i="26"/>
  <c r="C9" i="26"/>
  <c r="L2" i="26"/>
  <c r="H2" i="26"/>
  <c r="F2" i="26"/>
  <c r="A2" i="26"/>
  <c r="G21" i="8"/>
  <c r="G62" i="25"/>
  <c r="P62" i="25" s="1"/>
  <c r="C62" i="25"/>
  <c r="L62" i="25" s="1"/>
  <c r="A62" i="25"/>
  <c r="J62" i="25" s="1"/>
  <c r="A58" i="25"/>
  <c r="G11" i="25" s="1"/>
  <c r="K57" i="25"/>
  <c r="B57" i="25"/>
  <c r="K56" i="25"/>
  <c r="B56" i="25"/>
  <c r="B11" i="25" s="1"/>
  <c r="J55" i="25"/>
  <c r="A55" i="25"/>
  <c r="I10" i="25" s="1"/>
  <c r="M53" i="25"/>
  <c r="D53" i="25"/>
  <c r="A52" i="25"/>
  <c r="C51" i="25"/>
  <c r="C50" i="25"/>
  <c r="E49" i="25"/>
  <c r="C49" i="25"/>
  <c r="A11" i="25"/>
  <c r="F10" i="25"/>
  <c r="O6" i="25"/>
  <c r="K6" i="25"/>
  <c r="I6" i="25"/>
  <c r="B6" i="25"/>
  <c r="J60" i="2"/>
  <c r="J59" i="2"/>
  <c r="J57" i="2"/>
  <c r="J56" i="2"/>
  <c r="J54" i="2"/>
  <c r="J53" i="2"/>
  <c r="J52" i="2"/>
  <c r="J50" i="2"/>
  <c r="B50" i="2"/>
  <c r="B51" i="2"/>
  <c r="B48" i="25" s="1"/>
  <c r="L66" i="2"/>
  <c r="L63" i="25" s="1"/>
  <c r="C63" i="25"/>
  <c r="K137" i="1"/>
  <c r="A137" i="1"/>
  <c r="K67" i="1"/>
  <c r="A67" i="1"/>
  <c r="J61" i="1"/>
  <c r="K14" i="2"/>
  <c r="K15" i="3" s="1"/>
  <c r="C14" i="2"/>
  <c r="C15" i="9" s="1"/>
  <c r="I21" i="1"/>
  <c r="C9" i="2"/>
  <c r="C10" i="11" s="1"/>
  <c r="M11" i="2"/>
  <c r="M12" i="8" s="1"/>
  <c r="L11" i="2"/>
  <c r="L12" i="3" s="1"/>
  <c r="K11" i="2"/>
  <c r="K12" i="8" s="1"/>
  <c r="Z33" i="15" l="1"/>
  <c r="CK33" i="15" s="1"/>
  <c r="G40" i="27"/>
  <c r="A13" i="26"/>
  <c r="H48" i="13"/>
  <c r="B47" i="25"/>
  <c r="A45" i="13"/>
  <c r="H13" i="2"/>
  <c r="H14" i="9" s="1"/>
  <c r="C15" i="3"/>
  <c r="C15" i="11"/>
  <c r="L51" i="2"/>
  <c r="L48" i="25" s="1"/>
  <c r="M53" i="2"/>
  <c r="B10" i="25"/>
  <c r="N53" i="2"/>
  <c r="B10" i="12"/>
  <c r="C10" i="8"/>
  <c r="C10" i="9"/>
  <c r="C10" i="3"/>
  <c r="O53" i="2"/>
  <c r="C15" i="8"/>
  <c r="K12" i="11"/>
  <c r="M12" i="9"/>
  <c r="K15" i="8"/>
  <c r="K15" i="9"/>
  <c r="K15" i="11"/>
  <c r="M12" i="3"/>
  <c r="K12" i="9"/>
  <c r="L12" i="9"/>
  <c r="K12" i="3"/>
  <c r="L12" i="8"/>
  <c r="L12" i="11"/>
  <c r="M12" i="11"/>
  <c r="P11" i="1"/>
  <c r="L46" i="27" l="1"/>
  <c r="L2" i="27"/>
  <c r="G88" i="27"/>
  <c r="H14" i="8"/>
  <c r="H14" i="3"/>
  <c r="H14" i="11"/>
  <c r="P50" i="25"/>
  <c r="O44" i="8"/>
  <c r="O62" i="11"/>
  <c r="P50" i="12"/>
  <c r="O38" i="3"/>
  <c r="O50" i="25"/>
  <c r="N44" i="8"/>
  <c r="N62" i="11"/>
  <c r="N38" i="3"/>
  <c r="O50" i="12"/>
  <c r="M38" i="3"/>
  <c r="M50" i="25"/>
  <c r="M44" i="8"/>
  <c r="M62" i="11"/>
  <c r="M50" i="12"/>
  <c r="J45" i="3"/>
  <c r="J69" i="11" s="1"/>
  <c r="J44" i="3"/>
  <c r="J68" i="11" s="1"/>
  <c r="J42" i="3"/>
  <c r="J66" i="11" s="1"/>
  <c r="J41" i="3"/>
  <c r="J65" i="11" s="1"/>
  <c r="J39" i="3"/>
  <c r="J63" i="11" s="1"/>
  <c r="J38" i="3"/>
  <c r="J62" i="11" s="1"/>
  <c r="J37" i="3"/>
  <c r="J61" i="11" s="1"/>
  <c r="J36" i="3"/>
  <c r="J60" i="11" s="1"/>
  <c r="J35" i="3"/>
  <c r="J59" i="11" s="1"/>
  <c r="G154" i="27" l="1"/>
  <c r="L94" i="27"/>
  <c r="J49" i="12"/>
  <c r="J43" i="8" s="1"/>
  <c r="J52" i="9" s="1"/>
  <c r="J49" i="25"/>
  <c r="J51" i="12"/>
  <c r="J45" i="8" s="1"/>
  <c r="J54" i="9" s="1"/>
  <c r="J51" i="25"/>
  <c r="J53" i="12"/>
  <c r="J47" i="8" s="1"/>
  <c r="J56" i="9" s="1"/>
  <c r="J53" i="25"/>
  <c r="J54" i="12"/>
  <c r="J48" i="8" s="1"/>
  <c r="J57" i="9" s="1"/>
  <c r="J54" i="25"/>
  <c r="J48" i="12"/>
  <c r="J42" i="8" s="1"/>
  <c r="J51" i="9" s="1"/>
  <c r="J48" i="25"/>
  <c r="J56" i="12"/>
  <c r="J50" i="8" s="1"/>
  <c r="J59" i="9" s="1"/>
  <c r="J56" i="25"/>
  <c r="J50" i="12"/>
  <c r="J44" i="8" s="1"/>
  <c r="J53" i="9" s="1"/>
  <c r="J50" i="25"/>
  <c r="J47" i="12"/>
  <c r="J41" i="8" s="1"/>
  <c r="J50" i="9" s="1"/>
  <c r="J47" i="25"/>
  <c r="J57" i="12"/>
  <c r="J51" i="8" s="1"/>
  <c r="J60" i="9" s="1"/>
  <c r="J57" i="25"/>
  <c r="J25" i="3" l="1"/>
  <c r="J24" i="3"/>
  <c r="J23" i="3"/>
  <c r="J22" i="3"/>
  <c r="N22" i="3" s="1"/>
  <c r="G23" i="9" s="1"/>
  <c r="B25" i="3"/>
  <c r="B24" i="3"/>
  <c r="B23" i="3"/>
  <c r="B22" i="3"/>
  <c r="P30" i="2" l="1"/>
  <c r="P41" i="11" l="1"/>
  <c r="M50" i="11" s="1"/>
  <c r="BU21" i="15"/>
  <c r="CC15" i="29" s="1"/>
  <c r="C13" i="21"/>
  <c r="L13" i="1" l="1"/>
  <c r="J29" i="29" s="1"/>
  <c r="I2" i="26" l="1"/>
  <c r="K10" i="1"/>
  <c r="H13" i="28" s="1"/>
  <c r="H62" i="28" s="1"/>
  <c r="H112" i="28" s="1"/>
  <c r="D65" i="2"/>
  <c r="D62" i="25" s="1"/>
  <c r="M62" i="25" s="1"/>
  <c r="L5" i="2"/>
  <c r="L6" i="25" s="1"/>
  <c r="N13" i="1"/>
  <c r="J13" i="1"/>
  <c r="G2" i="26" s="1"/>
  <c r="K2" i="26" l="1"/>
  <c r="L10" i="1"/>
  <c r="H13" i="27"/>
  <c r="H57" i="27" s="1"/>
  <c r="F65" i="2"/>
  <c r="F62" i="25" s="1"/>
  <c r="O62" i="25" s="1"/>
  <c r="N5" i="2"/>
  <c r="N6" i="25" s="1"/>
  <c r="B65" i="2"/>
  <c r="B62" i="25" s="1"/>
  <c r="K62" i="25" s="1"/>
  <c r="J5" i="2"/>
  <c r="J6" i="25" s="1"/>
  <c r="H20" i="11"/>
  <c r="J21" i="9" l="1"/>
  <c r="J21" i="8"/>
  <c r="G51" i="18"/>
  <c r="E105" i="18" s="1"/>
  <c r="H105" i="27"/>
  <c r="H21" i="9"/>
  <c r="F20" i="11"/>
  <c r="L20" i="2"/>
  <c r="H21" i="8"/>
  <c r="J22" i="2"/>
  <c r="L22" i="2" s="1"/>
  <c r="J28" i="2"/>
  <c r="L28" i="2" s="1"/>
  <c r="J26" i="2"/>
  <c r="L26" i="2" s="1"/>
  <c r="J24" i="2"/>
  <c r="L24" i="2" s="1"/>
  <c r="K31" i="2" l="1"/>
  <c r="J16" i="27" l="1"/>
  <c r="J60" i="27" s="1"/>
  <c r="J108" i="27" s="1"/>
  <c r="F4" i="21"/>
  <c r="A4" i="21"/>
  <c r="F4" i="1" l="1"/>
  <c r="D4" i="1"/>
  <c r="M10" i="1" s="1"/>
  <c r="M3" i="2" s="1"/>
  <c r="H37" i="2"/>
  <c r="J13" i="28" l="1"/>
  <c r="J62" i="28" s="1"/>
  <c r="J112" i="28" s="1"/>
  <c r="J13" i="27"/>
  <c r="J57" i="27" s="1"/>
  <c r="J105" i="27" s="1"/>
  <c r="H4" i="1"/>
  <c r="A21" i="1" l="1"/>
  <c r="C12" i="26" l="1"/>
  <c r="G48" i="13"/>
  <c r="J21" i="3"/>
  <c r="I12" i="2" l="1"/>
  <c r="A13" i="2"/>
  <c r="I13" i="3" l="1"/>
  <c r="I13" i="11" s="1"/>
  <c r="I13" i="8" s="1"/>
  <c r="I13" i="9" s="1"/>
  <c r="J55" i="2"/>
  <c r="J52" i="25" s="1"/>
  <c r="M64" i="2" l="1"/>
  <c r="M49" i="3" s="1"/>
  <c r="M73" i="11" s="1"/>
  <c r="D49" i="3"/>
  <c r="D73" i="11" s="1"/>
  <c r="D61" i="12" l="1"/>
  <c r="D55" i="8" s="1"/>
  <c r="D64" i="9" s="1"/>
  <c r="D61" i="25"/>
  <c r="M61" i="12"/>
  <c r="M55" i="8" s="1"/>
  <c r="M64" i="9" s="1"/>
  <c r="M61" i="25"/>
  <c r="G6" i="2" l="1"/>
  <c r="G7" i="3" s="1"/>
  <c r="G7" i="11" s="1"/>
  <c r="G7" i="12" l="1"/>
  <c r="G7" i="8" s="1"/>
  <c r="G7" i="9" s="1"/>
  <c r="G7" i="25"/>
  <c r="I23" i="15"/>
  <c r="BP2" i="15"/>
  <c r="BP1" i="15"/>
  <c r="BX14" i="15" l="1"/>
  <c r="H17" i="29"/>
  <c r="A9" i="2"/>
  <c r="A10" i="3" s="1"/>
  <c r="A10" i="11" s="1"/>
  <c r="A10" i="9" s="1"/>
  <c r="A6" i="2"/>
  <c r="A63" i="2" s="1"/>
  <c r="BR23" i="29" s="1"/>
  <c r="D48" i="3"/>
  <c r="D72" i="11" s="1"/>
  <c r="D60" i="12" l="1"/>
  <c r="D63" i="9" s="1"/>
  <c r="D60" i="25"/>
  <c r="A7" i="3"/>
  <c r="A7" i="11" s="1"/>
  <c r="A74" i="11" s="1"/>
  <c r="D54" i="8" l="1"/>
  <c r="A7" i="12"/>
  <c r="A7" i="25"/>
  <c r="A7" i="8"/>
  <c r="A7" i="9" s="1"/>
  <c r="A11" i="12"/>
  <c r="E10" i="12"/>
  <c r="B6" i="12"/>
  <c r="C12" i="2" l="1"/>
  <c r="C13" i="3" l="1"/>
  <c r="C13" i="11" s="1"/>
  <c r="C13" i="8" s="1"/>
  <c r="C13" i="9" s="1"/>
  <c r="L54" i="2"/>
  <c r="L51" i="25" s="1"/>
  <c r="A14" i="3"/>
  <c r="A14" i="11" s="1"/>
  <c r="A14" i="8" s="1"/>
  <c r="A14" i="9" s="1"/>
  <c r="N20" i="11"/>
  <c r="N17" i="12" s="1"/>
  <c r="N17" i="25" s="1"/>
  <c r="N12" i="11"/>
  <c r="J12" i="11"/>
  <c r="I12" i="11"/>
  <c r="G12" i="11"/>
  <c r="F12" i="11"/>
  <c r="E12" i="11"/>
  <c r="A12" i="11"/>
  <c r="A11" i="11"/>
  <c r="C15" i="25" s="1"/>
  <c r="B6" i="11"/>
  <c r="C15" i="12" l="1"/>
  <c r="A11" i="8"/>
  <c r="N12" i="9" l="1"/>
  <c r="J12" i="9"/>
  <c r="I12" i="9"/>
  <c r="G12" i="9"/>
  <c r="F12" i="9"/>
  <c r="E12" i="9"/>
  <c r="A12" i="9"/>
  <c r="A11" i="9"/>
  <c r="B6" i="9"/>
  <c r="N12" i="8"/>
  <c r="I12" i="8"/>
  <c r="F12" i="8"/>
  <c r="E12" i="8"/>
  <c r="A12" i="8"/>
  <c r="B6" i="8"/>
  <c r="N26" i="3" l="1"/>
  <c r="N12" i="3"/>
  <c r="J12" i="3"/>
  <c r="I12" i="3"/>
  <c r="G12" i="3"/>
  <c r="F12" i="3"/>
  <c r="E12" i="3"/>
  <c r="A12" i="3"/>
  <c r="A11" i="3"/>
  <c r="K57" i="12"/>
  <c r="K56" i="12"/>
  <c r="J55" i="12"/>
  <c r="M53" i="12"/>
  <c r="L48" i="12"/>
  <c r="C63" i="12"/>
  <c r="A48" i="3"/>
  <c r="A72" i="11" s="1"/>
  <c r="A58" i="12"/>
  <c r="G11" i="12" s="1"/>
  <c r="B57" i="12"/>
  <c r="Q10" i="12" s="1"/>
  <c r="B56" i="12"/>
  <c r="B11" i="12" s="1"/>
  <c r="A55" i="12"/>
  <c r="H10" i="12" s="1"/>
  <c r="D53" i="12"/>
  <c r="C50" i="12"/>
  <c r="E49" i="12"/>
  <c r="C49" i="12"/>
  <c r="B48" i="12"/>
  <c r="N11" i="2"/>
  <c r="J11" i="2"/>
  <c r="I11" i="2"/>
  <c r="G11" i="2"/>
  <c r="N52" i="2" s="1"/>
  <c r="F11" i="2"/>
  <c r="M52" i="2" s="1"/>
  <c r="E11" i="2"/>
  <c r="L52" i="2" s="1"/>
  <c r="L49" i="25" s="1"/>
  <c r="A11" i="2"/>
  <c r="A10" i="2"/>
  <c r="B47" i="13" s="1"/>
  <c r="A7" i="2"/>
  <c r="A8" i="2"/>
  <c r="J52" i="12"/>
  <c r="L49" i="12" l="1"/>
  <c r="N49" i="12"/>
  <c r="N49" i="25"/>
  <c r="A9" i="12"/>
  <c r="A9" i="25"/>
  <c r="A8" i="12"/>
  <c r="A8" i="25"/>
  <c r="A60" i="12"/>
  <c r="A54" i="8" s="1"/>
  <c r="A60" i="25"/>
  <c r="L50" i="2"/>
  <c r="L59" i="11" s="1"/>
  <c r="J63" i="2"/>
  <c r="J12" i="8"/>
  <c r="L53" i="2"/>
  <c r="H5" i="21"/>
  <c r="O29" i="3"/>
  <c r="L39" i="3"/>
  <c r="L51" i="12"/>
  <c r="L51" i="3"/>
  <c r="L63" i="12"/>
  <c r="B47" i="12"/>
  <c r="C39" i="3"/>
  <c r="C51" i="12"/>
  <c r="A40" i="3"/>
  <c r="A52" i="12"/>
  <c r="M42" i="2"/>
  <c r="N61" i="11"/>
  <c r="N43" i="8"/>
  <c r="N52" i="9"/>
  <c r="A9" i="11"/>
  <c r="A9" i="9"/>
  <c r="A9" i="8"/>
  <c r="C63" i="11"/>
  <c r="C54" i="9"/>
  <c r="C45" i="8"/>
  <c r="L77" i="11"/>
  <c r="L57" i="8"/>
  <c r="L66" i="9"/>
  <c r="A64" i="11"/>
  <c r="A46" i="8"/>
  <c r="A55" i="9"/>
  <c r="D65" i="11"/>
  <c r="D47" i="8"/>
  <c r="D56" i="9"/>
  <c r="J64" i="11"/>
  <c r="J46" i="8"/>
  <c r="J55" i="9"/>
  <c r="D41" i="3"/>
  <c r="J40" i="3"/>
  <c r="A8" i="11"/>
  <c r="A8" i="9"/>
  <c r="A8" i="8"/>
  <c r="B59" i="11"/>
  <c r="B50" i="9"/>
  <c r="B41" i="8"/>
  <c r="A67" i="11"/>
  <c r="A58" i="9"/>
  <c r="A49" i="8"/>
  <c r="C77" i="11"/>
  <c r="C66" i="9"/>
  <c r="C57" i="8"/>
  <c r="M65" i="11"/>
  <c r="M47" i="8"/>
  <c r="M56" i="9"/>
  <c r="A9" i="3"/>
  <c r="B35" i="3"/>
  <c r="A43" i="3"/>
  <c r="C51" i="3"/>
  <c r="M41" i="3"/>
  <c r="C62" i="11"/>
  <c r="C53" i="9"/>
  <c r="C44" i="8"/>
  <c r="L63" i="11"/>
  <c r="L54" i="9"/>
  <c r="L45" i="8"/>
  <c r="B60" i="11"/>
  <c r="B51" i="9"/>
  <c r="B42" i="8"/>
  <c r="B68" i="11"/>
  <c r="B59" i="9"/>
  <c r="B50" i="8"/>
  <c r="J67" i="11"/>
  <c r="J49" i="8"/>
  <c r="J58" i="9"/>
  <c r="A8" i="3"/>
  <c r="B36" i="3"/>
  <c r="B44" i="3"/>
  <c r="J43" i="3"/>
  <c r="J70" i="11"/>
  <c r="C38" i="3"/>
  <c r="N37" i="3"/>
  <c r="C61" i="11"/>
  <c r="C43" i="8"/>
  <c r="C52" i="9"/>
  <c r="B69" i="11"/>
  <c r="B51" i="8"/>
  <c r="B60" i="9"/>
  <c r="L60" i="11"/>
  <c r="L51" i="9"/>
  <c r="L42" i="8"/>
  <c r="K68" i="11"/>
  <c r="K59" i="9"/>
  <c r="K50" i="8"/>
  <c r="C37" i="3"/>
  <c r="B45" i="3"/>
  <c r="L36" i="3"/>
  <c r="K44" i="3"/>
  <c r="J46" i="3"/>
  <c r="E61" i="11"/>
  <c r="E43" i="8"/>
  <c r="E52" i="9"/>
  <c r="A70" i="11"/>
  <c r="A52" i="8"/>
  <c r="A61" i="9"/>
  <c r="L61" i="11"/>
  <c r="L43" i="8"/>
  <c r="L52" i="9"/>
  <c r="K69" i="11"/>
  <c r="K51" i="8"/>
  <c r="K60" i="9"/>
  <c r="E37" i="3"/>
  <c r="A46" i="3"/>
  <c r="L37" i="3"/>
  <c r="K45" i="3"/>
  <c r="L41" i="8" l="1"/>
  <c r="L35" i="3"/>
  <c r="L50" i="9"/>
  <c r="L47" i="25"/>
  <c r="K45" i="13"/>
  <c r="J58" i="12"/>
  <c r="J52" i="8" s="1"/>
  <c r="J61" i="9" s="1"/>
  <c r="J58" i="25"/>
  <c r="L50" i="12"/>
  <c r="L38" i="3"/>
  <c r="L50" i="25"/>
  <c r="L44" i="8"/>
  <c r="L62" i="11"/>
  <c r="A63" i="9"/>
  <c r="L53" i="9"/>
  <c r="L47" i="12"/>
  <c r="J54" i="8"/>
  <c r="J60" i="25"/>
  <c r="J63" i="9"/>
  <c r="J60" i="12"/>
  <c r="J48" i="3"/>
  <c r="J72" i="11"/>
  <c r="B21" i="8" l="1"/>
  <c r="B21" i="9" s="1"/>
  <c r="B35" i="9" s="1"/>
  <c r="A4" i="1"/>
  <c r="A62" i="12"/>
  <c r="J62" i="12" s="1"/>
  <c r="A56" i="8"/>
  <c r="J56" i="8" s="1"/>
  <c r="A50" i="3"/>
  <c r="J50" i="3" s="1"/>
  <c r="A76" i="11"/>
  <c r="J76" i="11" s="1"/>
  <c r="J65" i="2"/>
  <c r="A65" i="9"/>
  <c r="J65" i="9" s="1"/>
  <c r="A26" i="15"/>
  <c r="BP18" i="15" s="1"/>
  <c r="BY19" i="29" s="1"/>
  <c r="B20" i="11"/>
  <c r="B17" i="12" s="1"/>
  <c r="B17" i="25" s="1"/>
  <c r="K6" i="12"/>
  <c r="B21" i="3"/>
  <c r="O6" i="12"/>
  <c r="I6" i="12"/>
  <c r="N5" i="25"/>
  <c r="AU15" i="15" s="1"/>
  <c r="CJ11" i="29" s="1"/>
  <c r="CP10" i="15" l="1"/>
  <c r="N13" i="25"/>
  <c r="F62" i="12"/>
  <c r="O62" i="12" s="1"/>
  <c r="B62" i="12"/>
  <c r="K62" i="12" s="1"/>
  <c r="N6" i="12"/>
  <c r="J6" i="12"/>
  <c r="F56" i="8"/>
  <c r="O56" i="8" s="1"/>
  <c r="O65" i="2"/>
  <c r="F76" i="11"/>
  <c r="O76" i="11" s="1"/>
  <c r="G62" i="12"/>
  <c r="P62" i="12" s="1"/>
  <c r="G76" i="11"/>
  <c r="P76" i="11" s="1"/>
  <c r="G56" i="8"/>
  <c r="P56" i="8" s="1"/>
  <c r="G65" i="9"/>
  <c r="P65" i="9" s="1"/>
  <c r="P65" i="2"/>
  <c r="G50" i="3"/>
  <c r="P50" i="3" s="1"/>
  <c r="L65" i="2"/>
  <c r="C62" i="12"/>
  <c r="L62" i="12" s="1"/>
  <c r="C50" i="3"/>
  <c r="L50" i="3" s="1"/>
  <c r="C76" i="11"/>
  <c r="L76" i="11" s="1"/>
  <c r="C65" i="9"/>
  <c r="L65" i="9" s="1"/>
  <c r="C56" i="8"/>
  <c r="L56" i="8" s="1"/>
  <c r="F50" i="3"/>
  <c r="O50" i="3" s="1"/>
  <c r="F65" i="9"/>
  <c r="O65" i="9" s="1"/>
  <c r="N5" i="11"/>
  <c r="N5" i="12"/>
  <c r="K6" i="3"/>
  <c r="K6" i="11"/>
  <c r="K6" i="9"/>
  <c r="K6" i="8"/>
  <c r="I6" i="11"/>
  <c r="I6" i="8"/>
  <c r="I6" i="9"/>
  <c r="O6" i="11"/>
  <c r="O6" i="9"/>
  <c r="O6" i="8"/>
  <c r="B76" i="11"/>
  <c r="K76" i="11" s="1"/>
  <c r="B65" i="9"/>
  <c r="K65" i="9" s="1"/>
  <c r="B56" i="8"/>
  <c r="K56" i="8" s="1"/>
  <c r="N6" i="11"/>
  <c r="N6" i="9"/>
  <c r="CG12" i="15" s="1"/>
  <c r="CE29" i="15" s="1"/>
  <c r="N6" i="8"/>
  <c r="J6" i="11"/>
  <c r="J6" i="8"/>
  <c r="J6" i="9"/>
  <c r="BS12" i="15" s="1"/>
  <c r="BQ29" i="15" s="1"/>
  <c r="N5" i="8"/>
  <c r="N18" i="8" s="1"/>
  <c r="N5" i="9"/>
  <c r="K65" i="2"/>
  <c r="B50" i="3"/>
  <c r="K50" i="3" s="1"/>
  <c r="I16" i="2"/>
  <c r="O17" i="2" s="1"/>
  <c r="N6" i="3"/>
  <c r="O6" i="3"/>
  <c r="I6" i="3"/>
  <c r="J6" i="3"/>
  <c r="N5" i="3"/>
  <c r="I17" i="3" s="1"/>
  <c r="N17" i="11" l="1"/>
  <c r="N13" i="12"/>
  <c r="N18" i="9"/>
  <c r="M42" i="9" s="1"/>
  <c r="I17" i="9"/>
  <c r="I17" i="8"/>
  <c r="N18" i="3"/>
  <c r="I13" i="28"/>
  <c r="I62" i="28" s="1"/>
  <c r="I112" i="28" s="1"/>
  <c r="I13" i="27" l="1"/>
  <c r="I57" i="27" s="1"/>
  <c r="L3" i="2"/>
  <c r="M5" i="25" s="1"/>
  <c r="AQ15" i="15" s="1"/>
  <c r="CD11" i="29" s="1"/>
  <c r="AC29" i="29" s="1"/>
  <c r="J10" i="1"/>
  <c r="G13" i="28" s="1"/>
  <c r="G62" i="28" s="1"/>
  <c r="G112" i="28" s="1"/>
  <c r="CL10" i="15" l="1"/>
  <c r="M13" i="25"/>
  <c r="G13" i="27"/>
  <c r="G57" i="27" s="1"/>
  <c r="I105" i="27"/>
  <c r="M5" i="12"/>
  <c r="M13" i="12" s="1"/>
  <c r="M5" i="3"/>
  <c r="H17" i="3" s="1"/>
  <c r="H16" i="2"/>
  <c r="N17" i="2" s="1"/>
  <c r="M5" i="9"/>
  <c r="M5" i="8"/>
  <c r="H17" i="8" s="1"/>
  <c r="M5" i="11"/>
  <c r="M17" i="11" s="1"/>
  <c r="J3" i="2"/>
  <c r="K5" i="25" s="1"/>
  <c r="K13" i="25" l="1"/>
  <c r="AJ15" i="15"/>
  <c r="BU11" i="29" s="1"/>
  <c r="G105" i="27"/>
  <c r="M18" i="3"/>
  <c r="M18" i="9"/>
  <c r="L42" i="9" s="1"/>
  <c r="H17" i="9"/>
  <c r="M18" i="8"/>
  <c r="K5" i="8"/>
  <c r="K18" i="8" s="1"/>
  <c r="K5" i="3"/>
  <c r="F17" i="3" s="1"/>
  <c r="K5" i="11"/>
  <c r="K5" i="9"/>
  <c r="K5" i="12"/>
  <c r="K13" i="12" s="1"/>
  <c r="F16" i="2"/>
  <c r="L17" i="2" s="1"/>
  <c r="CG10" i="15" l="1"/>
  <c r="C29" i="29"/>
  <c r="K17" i="11"/>
  <c r="F17" i="8"/>
  <c r="K18" i="3"/>
  <c r="K18" i="9"/>
  <c r="J42" i="9" s="1"/>
  <c r="F17" i="9"/>
  <c r="A21" i="3"/>
  <c r="B6" i="3" l="1"/>
  <c r="I3" i="2"/>
  <c r="M65" i="2" l="1"/>
  <c r="D76" i="11"/>
  <c r="M76" i="11" s="1"/>
  <c r="D62" i="12"/>
  <c r="M62" i="12" s="1"/>
  <c r="D56" i="8"/>
  <c r="M56" i="8" s="1"/>
  <c r="D50" i="3"/>
  <c r="M50" i="3" s="1"/>
  <c r="D65" i="9"/>
  <c r="M65" i="9" s="1"/>
  <c r="L6" i="9"/>
  <c r="BV12" i="15" s="1"/>
  <c r="BT29" i="15" s="1"/>
  <c r="L6" i="3"/>
  <c r="L6" i="11"/>
  <c r="L6" i="8"/>
  <c r="L6" i="12"/>
  <c r="K3" i="2"/>
  <c r="L5" i="25" s="1"/>
  <c r="L13" i="25" l="1"/>
  <c r="AN15" i="15"/>
  <c r="BZ11" i="29" s="1"/>
  <c r="L5" i="11"/>
  <c r="L5" i="12"/>
  <c r="L13" i="12" s="1"/>
  <c r="G16" i="2"/>
  <c r="M17" i="2" s="1"/>
  <c r="L5" i="8"/>
  <c r="L5" i="3"/>
  <c r="L5" i="9"/>
  <c r="J21" i="2"/>
  <c r="N43" i="11" s="1"/>
  <c r="M40" i="11" l="1"/>
  <c r="K22" i="26"/>
  <c r="A17" i="28" s="1"/>
  <c r="F20" i="28"/>
  <c r="C23" i="28" s="1"/>
  <c r="F19" i="27"/>
  <c r="C22" i="27" s="1"/>
  <c r="C11" i="30"/>
  <c r="H21" i="11"/>
  <c r="CJ10" i="15"/>
  <c r="F21" i="11"/>
  <c r="C9" i="30" s="1"/>
  <c r="C31" i="21"/>
  <c r="C35" i="21" s="1"/>
  <c r="J22" i="8"/>
  <c r="J22" i="9"/>
  <c r="L13" i="28"/>
  <c r="L62" i="28" s="1"/>
  <c r="L112" i="28" s="1"/>
  <c r="C51" i="18"/>
  <c r="A105" i="18" s="1"/>
  <c r="N42" i="13"/>
  <c r="L13" i="27"/>
  <c r="L57" i="27" s="1"/>
  <c r="L105" i="27" s="1"/>
  <c r="L21" i="2"/>
  <c r="J23" i="2"/>
  <c r="H22" i="9"/>
  <c r="J29" i="2"/>
  <c r="J25" i="2"/>
  <c r="J27" i="2"/>
  <c r="BB15" i="15"/>
  <c r="CT11" i="29" s="1"/>
  <c r="D5" i="1"/>
  <c r="G17" i="9"/>
  <c r="L18" i="9"/>
  <c r="K42" i="9" s="1"/>
  <c r="G17" i="3"/>
  <c r="L18" i="3"/>
  <c r="G17" i="8"/>
  <c r="L18" i="8"/>
  <c r="L17" i="11"/>
  <c r="M31" i="2" l="1"/>
  <c r="L16" i="27" s="1"/>
  <c r="L60" i="27" s="1"/>
  <c r="L108" i="27" s="1"/>
  <c r="L23" i="2"/>
  <c r="M41" i="11"/>
  <c r="N45" i="11"/>
  <c r="A66" i="28"/>
  <c r="A116" i="28" s="1"/>
  <c r="F69" i="28"/>
  <c r="C75" i="28" s="1"/>
  <c r="C45" i="28"/>
  <c r="C40" i="27"/>
  <c r="F63" i="27"/>
  <c r="C68" i="27" s="1"/>
  <c r="L20" i="11"/>
  <c r="L21" i="9"/>
  <c r="P21" i="9" s="1"/>
  <c r="P31" i="9" s="1"/>
  <c r="H32" i="9" s="1"/>
  <c r="H22" i="8"/>
  <c r="L27" i="2"/>
  <c r="L25" i="2"/>
  <c r="F5" i="1"/>
  <c r="F119" i="28" l="1"/>
  <c r="C158" i="28" s="1"/>
  <c r="C95" i="28"/>
  <c r="C88" i="27"/>
  <c r="F111" i="27"/>
  <c r="C154" i="27" s="1"/>
  <c r="J17" i="12"/>
  <c r="J17" i="25" s="1"/>
  <c r="J47" i="13"/>
  <c r="L22" i="11"/>
  <c r="P22" i="11" s="1"/>
  <c r="P18" i="12" s="1"/>
  <c r="P18" i="25" s="1"/>
  <c r="L24" i="11"/>
  <c r="P20" i="11"/>
  <c r="J19" i="12" l="1"/>
  <c r="P24" i="11"/>
  <c r="P19" i="12" s="1"/>
  <c r="P19" i="25" s="1"/>
  <c r="J19" i="25"/>
  <c r="J18" i="12"/>
  <c r="J18" i="25" s="1"/>
  <c r="P17" i="12"/>
  <c r="L28" i="11"/>
  <c r="P28" i="11" s="1"/>
  <c r="P21" i="12" s="1"/>
  <c r="P21" i="25" s="1"/>
  <c r="L26" i="11"/>
  <c r="P26" i="11" s="1"/>
  <c r="P20" i="12" s="1"/>
  <c r="P20" i="25" s="1"/>
  <c r="P40" i="11" l="1"/>
  <c r="P47" i="11" s="1"/>
  <c r="J23" i="25"/>
  <c r="J20" i="12"/>
  <c r="J20" i="25" s="1"/>
  <c r="J25" i="25"/>
  <c r="J21" i="12"/>
  <c r="J21" i="25" s="1"/>
  <c r="P32" i="12"/>
  <c r="P39" i="12" s="1"/>
  <c r="P17" i="25"/>
  <c r="P32" i="25" s="1"/>
  <c r="P39" i="25" s="1"/>
  <c r="AM21" i="15"/>
  <c r="C41" i="12"/>
  <c r="C41" i="25"/>
  <c r="P48" i="11" l="1"/>
  <c r="D11" i="30" s="1"/>
  <c r="L21" i="8"/>
  <c r="P21" i="8" s="1"/>
  <c r="P31" i="8" s="1"/>
  <c r="I36" i="21" l="1"/>
  <c r="H32" i="8"/>
  <c r="A37" i="21"/>
  <c r="J51" i="11" l="1"/>
  <c r="C113" i="27"/>
  <c r="C121" i="28"/>
  <c r="D20" i="27"/>
  <c r="D21" i="28"/>
  <c r="F56" i="18"/>
  <c r="A58" i="18" s="1"/>
  <c r="E66" i="27"/>
  <c r="K47" i="13"/>
  <c r="E73" i="28"/>
  <c r="BN23" i="15"/>
  <c r="G20" i="29" l="1"/>
  <c r="I27" i="29" s="1"/>
  <c r="F27" i="15"/>
  <c r="AM19" i="15"/>
</calcChain>
</file>

<file path=xl/sharedStrings.xml><?xml version="1.0" encoding="utf-8"?>
<sst xmlns="http://schemas.openxmlformats.org/spreadsheetml/2006/main" count="1280" uniqueCount="801">
  <si>
    <t>1. ПРЕДМЕТ ДОГОВОРА</t>
  </si>
  <si>
    <t>3. АРЕНДНАЯ ПЛАТА, ДЕНЕЖНЫЙ ЗАЛОГ</t>
  </si>
  <si>
    <t>4. СРОКИ ИСПОЛНЕНИЯ ОБЯЗАТЕЛЬСТВ</t>
  </si>
  <si>
    <t>5. ОТВЕТСТВЕННОСТЬ СТОРОН</t>
  </si>
  <si>
    <t>6. ПОРЯДОК РАЗРЕШЕНИЯ СПОРОВ</t>
  </si>
  <si>
    <t>7. ПРОЧИЕ УСЛОВИЯ</t>
  </si>
  <si>
    <t>8. РЕКВИЗИТЫ СТОРОН</t>
  </si>
  <si>
    <t>Банковские реквизиты:</t>
  </si>
  <si>
    <t>УГНС 003 Свердловского района</t>
  </si>
  <si>
    <t>БИК:</t>
  </si>
  <si>
    <t>Ф.И.О.:</t>
  </si>
  <si>
    <t xml:space="preserve">г. Бишкек </t>
  </si>
  <si>
    <t>№</t>
  </si>
  <si>
    <t>Дата и время выдачи</t>
  </si>
  <si>
    <t>Итого:</t>
  </si>
  <si>
    <t>АКТ ПРИЕМА-ПЕРЕДАЧИ ИМУЩЕСТВА В ПРОКАТ</t>
  </si>
  <si>
    <t xml:space="preserve"> Арендодатель передал Арендатору следующее Имущество:</t>
  </si>
  <si>
    <t xml:space="preserve"> № </t>
  </si>
  <si>
    <t xml:space="preserve">Стоимость оборудования </t>
  </si>
  <si>
    <r>
      <t xml:space="preserve">                    </t>
    </r>
    <r>
      <rPr>
        <sz val="16"/>
        <color theme="0"/>
        <rFont val="Calibri"/>
        <family val="2"/>
        <charset val="204"/>
        <scheme val="minor"/>
      </rPr>
      <t>,</t>
    </r>
    <r>
      <rPr>
        <sz val="16"/>
        <color theme="1"/>
        <rFont val="Calibri"/>
        <family val="2"/>
        <scheme val="minor"/>
      </rPr>
      <t>- следить за целостностью и сохранностью полученного в аренду Имущества;</t>
    </r>
  </si>
  <si>
    <r>
      <t xml:space="preserve">                    </t>
    </r>
    <r>
      <rPr>
        <sz val="16"/>
        <color theme="0"/>
        <rFont val="Calibri"/>
        <family val="2"/>
        <charset val="204"/>
        <scheme val="minor"/>
      </rPr>
      <t>,</t>
    </r>
    <r>
      <rPr>
        <sz val="16"/>
        <color theme="1"/>
        <rFont val="Calibri"/>
        <family val="2"/>
        <scheme val="minor"/>
      </rPr>
      <t>- самостоятельно не вскрывать и не ремонтировать переданное Имущество;</t>
    </r>
  </si>
  <si>
    <r>
      <t xml:space="preserve">                    </t>
    </r>
    <r>
      <rPr>
        <sz val="16"/>
        <color theme="0"/>
        <rFont val="Calibri"/>
        <family val="2"/>
        <charset val="204"/>
        <scheme val="minor"/>
      </rPr>
      <t>,</t>
    </r>
    <r>
      <rPr>
        <sz val="16"/>
        <color theme="1"/>
        <rFont val="Calibri"/>
        <family val="2"/>
        <scheme val="minor"/>
      </rPr>
      <t>- соблюдать технику безопасности при использовании Имущества;</t>
    </r>
  </si>
  <si>
    <r>
      <t xml:space="preserve">      </t>
    </r>
    <r>
      <rPr>
        <sz val="16"/>
        <color theme="0"/>
        <rFont val="Calibri"/>
        <family val="2"/>
        <charset val="204"/>
        <scheme val="minor"/>
      </rPr>
      <t xml:space="preserve">,              </t>
    </r>
    <r>
      <rPr>
        <sz val="16"/>
        <color theme="1"/>
        <rFont val="Calibri"/>
        <family val="2"/>
        <scheme val="minor"/>
      </rPr>
      <t>- не сдавать в субаренду Имущество, предоставленное Арендодателем по настоящему Договору;</t>
    </r>
  </si>
  <si>
    <t>»</t>
  </si>
  <si>
    <t xml:space="preserve"> «</t>
  </si>
  <si>
    <t xml:space="preserve">1. В соответствии с пунктом 1.2. Договора аренды оборудования   </t>
  </si>
  <si>
    <t>Телефон:</t>
  </si>
  <si>
    <t>АКТ ВОЗВРАТА ИМУЩЕСТВА</t>
  </si>
  <si>
    <t>ИНН:</t>
  </si>
  <si>
    <t>Паспорт:</t>
  </si>
  <si>
    <t>Выдан:</t>
  </si>
  <si>
    <t>Адрес:</t>
  </si>
  <si>
    <t>Почтовый индекс:</t>
  </si>
  <si>
    <t>________________________</t>
  </si>
  <si>
    <t xml:space="preserve"> на основании паспорта:</t>
  </si>
  <si>
    <t>выдан</t>
  </si>
  <si>
    <t>по адресу:</t>
  </si>
  <si>
    <t>Факт. место проживания</t>
  </si>
  <si>
    <t>_________________________</t>
  </si>
  <si>
    <t>Адрес объекта:</t>
  </si>
  <si>
    <r>
      <rPr>
        <sz val="16"/>
        <color theme="0"/>
        <rFont val="Calibri"/>
        <family val="2"/>
        <charset val="204"/>
        <scheme val="minor"/>
      </rPr>
      <t xml:space="preserve">,                     </t>
    </r>
    <r>
      <rPr>
        <sz val="16"/>
        <color theme="1"/>
        <rFont val="Calibri"/>
        <family val="2"/>
        <scheme val="minor"/>
      </rPr>
      <t xml:space="preserve">- в случае поломки имущества, известить по номеру </t>
    </r>
  </si>
  <si>
    <t>7.2. Все приложения и Акты к настоящему Договору являются неотъемлемой частью настоящего Договора.</t>
  </si>
  <si>
    <t>5.5. Арендатор несет все расходы по транспортировке Имущества из пункта проката и в пункт проката Арендодателя</t>
  </si>
  <si>
    <t>5.2 При невозврате имущества в указанные сроки или неполной оплате, Арендодатель имеет право обратиться в органы</t>
  </si>
  <si>
    <t>АРЕНДАТОР:</t>
  </si>
  <si>
    <t>АРЕНДОДАТЕЛЬ:</t>
  </si>
  <si>
    <t xml:space="preserve">с другой стороны, а вместе именуемые «Стороны», составили настоящее приложение в соответствии с Договором </t>
  </si>
  <si>
    <t xml:space="preserve">       аренды оборудования </t>
  </si>
  <si>
    <t>Пункт проката :</t>
  </si>
  <si>
    <t>р/c:</t>
  </si>
  <si>
    <t>к Договору аренды оборудования</t>
  </si>
  <si>
    <t>1. Во исполнение Договора аренды оборудования</t>
  </si>
  <si>
    <t>с другой стороны, а вместе именуемые «Стороны», заключили настоящий акт к Договору</t>
  </si>
  <si>
    <t xml:space="preserve">2. Имущество передается в полной исправности. Работоспособность Имущества проверена в присутствии Арендатора
</t>
  </si>
  <si>
    <t>Кол-во</t>
  </si>
  <si>
    <t>Кол-Во</t>
  </si>
  <si>
    <t xml:space="preserve"> Арендатор возвращает Арендодателю следующее Имущество:</t>
  </si>
  <si>
    <t xml:space="preserve">2. Имущество передается в полной исправности. Работоспособность Имущества проверена Арендодателем
</t>
  </si>
  <si>
    <t>2.Следующее имущество возвращается в ненадлежащем состоянии:</t>
  </si>
  <si>
    <t>Наименование оборудования</t>
  </si>
  <si>
    <t>Ед.изм.</t>
  </si>
  <si>
    <t>Цена в сутки</t>
  </si>
  <si>
    <t>Всего:</t>
  </si>
  <si>
    <t>(подпись)</t>
  </si>
  <si>
    <t>Сутки</t>
  </si>
  <si>
    <t>К оплате:</t>
  </si>
  <si>
    <t>Арендодатель:</t>
  </si>
  <si>
    <t>Арендатор:</t>
  </si>
  <si>
    <t>Сумма сом</t>
  </si>
  <si>
    <t>Кол. Суток</t>
  </si>
  <si>
    <t>Стоимость ущерба</t>
  </si>
  <si>
    <t xml:space="preserve">                     Приложение №1 к Договору аренды оборудования</t>
  </si>
  <si>
    <r>
      <t xml:space="preserve"> именуемый(-ая) в дальнейшем </t>
    </r>
    <r>
      <rPr>
        <b/>
        <sz val="16"/>
        <color theme="1"/>
        <rFont val="Calibri"/>
        <family val="2"/>
        <charset val="204"/>
        <scheme val="minor"/>
      </rPr>
      <t xml:space="preserve">«Арендатор», </t>
    </r>
    <r>
      <rPr>
        <sz val="16"/>
        <color theme="1"/>
        <rFont val="Calibri"/>
        <family val="2"/>
        <charset val="204"/>
        <scheme val="minor"/>
      </rPr>
      <t>действующий(-ая)</t>
    </r>
  </si>
  <si>
    <t>зарегистрированный(-ая)</t>
  </si>
  <si>
    <t>г. Бишкек</t>
  </si>
  <si>
    <t>о нижеследующем:</t>
  </si>
  <si>
    <t>Завод. или индеф. №</t>
  </si>
  <si>
    <t>Кол. Оборудования</t>
  </si>
  <si>
    <t>Дата:</t>
  </si>
  <si>
    <t>АКТ РАСЧЕТА АРЕНДНОЙ ПЛАТЫ</t>
  </si>
  <si>
    <t>от Арендатора.</t>
  </si>
  <si>
    <t>5. Настоящий Акт составлен в 2-ух экземплярах, имеющих одинаковую юридическую силу, по одному для каждой из сторон.</t>
  </si>
  <si>
    <t>СЧЕТ НА ОПЛАТУ</t>
  </si>
  <si>
    <t>____________________________</t>
  </si>
  <si>
    <r>
      <t xml:space="preserve"> именуемый в дальнейшем </t>
    </r>
    <r>
      <rPr>
        <b/>
        <sz val="16"/>
        <color theme="1"/>
        <rFont val="Calibri"/>
        <family val="2"/>
        <charset val="204"/>
        <scheme val="minor"/>
      </rPr>
      <t>«Арендодатель»</t>
    </r>
    <r>
      <rPr>
        <sz val="16"/>
        <color theme="1"/>
        <rFont val="Calibri"/>
        <family val="2"/>
        <scheme val="minor"/>
      </rPr>
      <t>, с одной стороны и</t>
    </r>
  </si>
  <si>
    <t>Унифицированная форма № КО-1</t>
  </si>
  <si>
    <t>организация</t>
  </si>
  <si>
    <t>Код</t>
  </si>
  <si>
    <t>КВИТАНЦИЯ</t>
  </si>
  <si>
    <t>Форма по ОКУД</t>
  </si>
  <si>
    <t>по ОКПО</t>
  </si>
  <si>
    <t>к приходному кассовому ордеру №</t>
  </si>
  <si>
    <t>структурное подразделение</t>
  </si>
  <si>
    <t>от «</t>
  </si>
  <si>
    <t>г.</t>
  </si>
  <si>
    <t>Дата</t>
  </si>
  <si>
    <t>ПРИХОДНЫЙ КАССОВЫЙ ОРДЕР</t>
  </si>
  <si>
    <t>составления</t>
  </si>
  <si>
    <t>Принято от</t>
  </si>
  <si>
    <t>Основание:</t>
  </si>
  <si>
    <t>Дебет</t>
  </si>
  <si>
    <t>Кредит</t>
  </si>
  <si>
    <t>Сумма,</t>
  </si>
  <si>
    <t>код</t>
  </si>
  <si>
    <t>корреспон-</t>
  </si>
  <si>
    <t>целевого</t>
  </si>
  <si>
    <t>структурного</t>
  </si>
  <si>
    <t>дирующий</t>
  </si>
  <si>
    <t>аналитичес-</t>
  </si>
  <si>
    <t>назначения</t>
  </si>
  <si>
    <t>подразделения</t>
  </si>
  <si>
    <t>счет, субсчет</t>
  </si>
  <si>
    <t>кого учета</t>
  </si>
  <si>
    <t>Сумма</t>
  </si>
  <si>
    <t>цифрами</t>
  </si>
  <si>
    <t>прописью</t>
  </si>
  <si>
    <t>В том числе</t>
  </si>
  <si>
    <t>«</t>
  </si>
  <si>
    <t>Приложение</t>
  </si>
  <si>
    <t>М. П. (штампа)</t>
  </si>
  <si>
    <t>Главный бухгалтер</t>
  </si>
  <si>
    <t>(расшифровка подписи)</t>
  </si>
  <si>
    <t>Получил кассир</t>
  </si>
  <si>
    <t>Кассир</t>
  </si>
  <si>
    <t>сом. тыйын.</t>
  </si>
  <si>
    <t>Народная аренда строительного инструмента</t>
  </si>
  <si>
    <t>тыйын</t>
  </si>
  <si>
    <t>1</t>
  </si>
  <si>
    <t>Аренда строительного оборудования</t>
  </si>
  <si>
    <t xml:space="preserve"> Акт дополнительных данных</t>
  </si>
  <si>
    <t>Телефон</t>
  </si>
  <si>
    <t>Адрес</t>
  </si>
  <si>
    <t>Родственники, друзья, знакомые.</t>
  </si>
  <si>
    <t>Паспортные данные</t>
  </si>
  <si>
    <t xml:space="preserve">с другой стороны заключили Договор о нижеследующем:  </t>
  </si>
  <si>
    <t>Итого: стоимость оборудования</t>
  </si>
  <si>
    <t>Итого к оплате:</t>
  </si>
  <si>
    <t>Арендатор оплачивает арендную плату Арендодателю за пользование оборудованием:</t>
  </si>
  <si>
    <t>года рождения</t>
  </si>
  <si>
    <t>1234587</t>
  </si>
  <si>
    <t>6598</t>
  </si>
  <si>
    <t>200</t>
  </si>
  <si>
    <t xml:space="preserve">                  Народная аренда строительного инструмента</t>
  </si>
  <si>
    <t>Должник</t>
  </si>
  <si>
    <t>Инструмент</t>
  </si>
  <si>
    <t>Кол-во суток</t>
  </si>
  <si>
    <t>Факт. место жительство</t>
  </si>
  <si>
    <t>Примечание</t>
  </si>
  <si>
    <t>Рег. по паспорту</t>
  </si>
  <si>
    <t>И Н Ф О Р М А Ц И Я   О    З А Я В И Т Е Л Е:</t>
  </si>
  <si>
    <t>Ф.И.О.</t>
  </si>
  <si>
    <t>Дата рождения</t>
  </si>
  <si>
    <t>Место рождения</t>
  </si>
  <si>
    <t>Гражданство</t>
  </si>
  <si>
    <t>Номер, серия и дата выдачи паспорта</t>
  </si>
  <si>
    <t>Пин \ ИНН</t>
  </si>
  <si>
    <t>Адрес по прописке</t>
  </si>
  <si>
    <t>ул. Ялтинская д 56 \1</t>
  </si>
  <si>
    <t>Фактический адрес проживания</t>
  </si>
  <si>
    <t>№ раб. телефона</t>
  </si>
  <si>
    <t>0 555 147 688</t>
  </si>
  <si>
    <t>№ дом. телефона</t>
  </si>
  <si>
    <t>№ моб. телефона</t>
  </si>
  <si>
    <t>Место работы</t>
  </si>
  <si>
    <t>Должность</t>
  </si>
  <si>
    <t>Руководитель проката</t>
  </si>
  <si>
    <t>Образование</t>
  </si>
  <si>
    <t>Семейное положение</t>
  </si>
  <si>
    <r>
      <rPr>
        <b/>
        <sz val="12"/>
        <color theme="1"/>
        <rFont val="Times New Roman"/>
        <family val="1"/>
        <charset val="204"/>
      </rPr>
      <t>Примечание</t>
    </r>
    <r>
      <rPr>
        <sz val="12"/>
        <color theme="1"/>
        <rFont val="Times New Roman"/>
        <family val="1"/>
        <charset val="204"/>
      </rPr>
      <t xml:space="preserve"> (обращался ли ранее с заявлением об этом совершённом или готовящемся преступлении\проступке в другой правоохранительный орган, если да то когда и в какой орган): </t>
    </r>
  </si>
  <si>
    <t>нет</t>
  </si>
  <si>
    <r>
      <rPr>
        <b/>
        <sz val="12"/>
        <color theme="1"/>
        <rFont val="Times New Roman"/>
        <family val="1"/>
        <charset val="204"/>
      </rPr>
      <t>Приложение</t>
    </r>
    <r>
      <rPr>
        <sz val="12"/>
        <color theme="1"/>
        <rFont val="Times New Roman"/>
        <family val="1"/>
        <charset val="204"/>
      </rPr>
      <t xml:space="preserve"> (имеются вещественные доказательства. аудио-видео запись происшествия, документы и другие, относящиеся к преступлению\проступку материалы):</t>
    </r>
  </si>
  <si>
    <r>
      <rPr>
        <b/>
        <sz val="12"/>
        <color theme="1"/>
        <rFont val="Times New Roman"/>
        <family val="1"/>
        <charset val="204"/>
      </rPr>
      <t>Дополнения</t>
    </r>
    <r>
      <rPr>
        <sz val="12"/>
        <color theme="1"/>
        <rFont val="Times New Roman"/>
        <family val="1"/>
        <charset val="204"/>
      </rPr>
      <t xml:space="preserve"> (любые имеющиеся дополнения в части информации о заявителе):</t>
    </r>
  </si>
  <si>
    <r>
      <t xml:space="preserve">Заявление и личные данные с моих слов </t>
    </r>
    <r>
      <rPr>
        <b/>
        <u/>
        <sz val="12"/>
        <color theme="1"/>
        <rFont val="Times New Roman"/>
        <family val="1"/>
        <charset val="204"/>
      </rPr>
      <t>напечатаны</t>
    </r>
    <r>
      <rPr>
        <b/>
        <sz val="12"/>
        <color theme="1"/>
        <rFont val="Times New Roman"/>
        <family val="1"/>
        <charset val="204"/>
      </rPr>
      <t xml:space="preserve"> (написаны) верно, мной</t>
    </r>
  </si>
  <si>
    <r>
      <t xml:space="preserve">прочитаны (написаны, </t>
    </r>
    <r>
      <rPr>
        <b/>
        <u/>
        <sz val="12"/>
        <color theme="1"/>
        <rFont val="Times New Roman"/>
        <family val="1"/>
        <charset val="204"/>
      </rPr>
      <t>напечатаны собственноручно</t>
    </r>
    <r>
      <rPr>
        <b/>
        <sz val="12"/>
        <color theme="1"/>
        <rFont val="Times New Roman"/>
        <family val="1"/>
        <charset val="204"/>
      </rPr>
      <t>) -нужное подчеркнуть</t>
    </r>
  </si>
  <si>
    <t xml:space="preserve">          </t>
  </si>
  <si>
    <t>Подпись заявителя</t>
  </si>
  <si>
    <t xml:space="preserve"> «____» ___________ 2019 г.</t>
  </si>
  <si>
    <t xml:space="preserve"> «____»  час. «____»мин.</t>
  </si>
  <si>
    <t>Заявление принял:_______________________________________________________</t>
  </si>
  <si>
    <t>________________________________________________________</t>
  </si>
  <si>
    <t>(должность, фамилия, инициалы, подпись)</t>
  </si>
  <si>
    <t>Выдан талон-уведомление №_______________________________________</t>
  </si>
  <si>
    <t>Начальнику УВД Свердловского</t>
  </si>
  <si>
    <t>района города Бишкек</t>
  </si>
  <si>
    <t>Полковнику милиции</t>
  </si>
  <si>
    <t>Тагаеву А.Г.</t>
  </si>
  <si>
    <t>ОТ КОГО: Зинченко</t>
  </si>
  <si>
    <t>ЗАЯВЛЕНИЕ</t>
  </si>
  <si>
    <t>о совершённом или готовящемся преступлении/проступке</t>
  </si>
  <si>
    <t>Я,</t>
  </si>
  <si>
    <t>прошу привлечь к уголовной</t>
  </si>
  <si>
    <t>ответственности</t>
  </si>
  <si>
    <t xml:space="preserve">за то, что он </t>
  </si>
  <si>
    <t xml:space="preserve">года примерно в </t>
  </si>
  <si>
    <t xml:space="preserve">китайского производства стоимостью </t>
  </si>
  <si>
    <t>а также сумма за прокат</t>
  </si>
  <si>
    <t>Тем самым гражданин</t>
  </si>
  <si>
    <t>причинил мне материальный ущерб на общую сумму</t>
  </si>
  <si>
    <t>(краткое сведения о совершенном или готовящемся преступлении, которые заявитель</t>
  </si>
  <si>
    <t xml:space="preserve"> должен отразить выше: о времени, места и способе совершения преступления, о</t>
  </si>
  <si>
    <t xml:space="preserve">полученных телесных повреждениях, обращался ли в мед учреждения, когда и где </t>
  </si>
  <si>
    <t xml:space="preserve"> и кто производил осмотр, о преступниках или подозреваемых, роль каждого из лиц</t>
  </si>
  <si>
    <t xml:space="preserve"> совершивших преступное посягательство, о сведениях очевидцах уголовного</t>
  </si>
  <si>
    <t xml:space="preserve"> правонарушения, о сумме материального ущерба, о вещественных доказательствах и </t>
  </si>
  <si>
    <t>и другие сведения, раскрывающие суть произошедшего события)</t>
  </si>
  <si>
    <t xml:space="preserve"> за ведомо ложное сообщение о совершении преступления, которое предусмотрено</t>
  </si>
  <si>
    <t>От гражданина Зинченко</t>
  </si>
  <si>
    <t>25.06.1983г.р., прож.: г. Бишкек</t>
  </si>
  <si>
    <t>ул. Ялтинская д.56\1</t>
  </si>
  <si>
    <t>оборудования.</t>
  </si>
  <si>
    <t>тел.: 0555 147 688</t>
  </si>
  <si>
    <t>ОБЪЯСНИТЕЛЬНАЯ</t>
  </si>
  <si>
    <t xml:space="preserve">По существу дела поясную о том что я проживаю по вышеуказанному адресу </t>
  </si>
  <si>
    <t xml:space="preserve"> со своей семьей с рождения.</t>
  </si>
  <si>
    <t>В настоящее время я работаю руководителем пункта проката строительного</t>
  </si>
  <si>
    <t xml:space="preserve">оборудования который находится по адресу </t>
  </si>
  <si>
    <t xml:space="preserve">приблизительно в </t>
  </si>
  <si>
    <t xml:space="preserve">в пункт проката пришел мужчина </t>
  </si>
  <si>
    <t xml:space="preserve">азиатской национальности в возрасте </t>
  </si>
  <si>
    <t xml:space="preserve">30 - 35 </t>
  </si>
  <si>
    <t>лет и начал интересоваться</t>
  </si>
  <si>
    <t>разнообразным строительным оборудованием, основное внимание он акцентировал</t>
  </si>
  <si>
    <t>на</t>
  </si>
  <si>
    <t>где он согласился с оными и мы заключили договор аренды оборудования.</t>
  </si>
  <si>
    <t xml:space="preserve">должен был вернуть оборудование через </t>
  </si>
  <si>
    <t>гр.</t>
  </si>
  <si>
    <t>оборудование не привез не продлил договор аренды</t>
  </si>
  <si>
    <t>но все тщетно телефон не берет хотя гудки идут, по WhatsApp не отвечает</t>
  </si>
  <si>
    <t>2 недель и вовсе отключил телефон и до сих пор он недоступен.</t>
  </si>
  <si>
    <t>Объяснительная напечатана собственноручно и верно</t>
  </si>
  <si>
    <t>год рож.</t>
  </si>
  <si>
    <t>где войдя в мое доверие обманным путем завладел имуществом</t>
  </si>
  <si>
    <t>Я объяснил ему наши условия проката, данного оборудования</t>
  </si>
  <si>
    <t>Согласно заключенному договору аренды   гр.</t>
  </si>
  <si>
    <t>Жена</t>
  </si>
  <si>
    <t>Мать</t>
  </si>
  <si>
    <t>Любовница</t>
  </si>
  <si>
    <t>инструмента на сегодняшний день составила</t>
  </si>
  <si>
    <t>об уголовной ответственности по ст.344 УК. КР.</t>
  </si>
  <si>
    <t>УГНС 000</t>
  </si>
  <si>
    <t>данный гражданин</t>
  </si>
  <si>
    <t>Заранее огромное спасибо за внимание!!!</t>
  </si>
  <si>
    <t>взял и не вернул строительное оборудование на сумму:</t>
  </si>
  <si>
    <t>в аварию, телефон недоступен по WhatsApp не отвечает. Человек производил хорошее</t>
  </si>
  <si>
    <t>объявить его в розыск.</t>
  </si>
  <si>
    <t>Огромная просьба если вы его знаете дайте мне знать где он что с ним</t>
  </si>
  <si>
    <t>Добрый день, хотел у вас узнать знаете ли вы гражданина Кыргызской Республики</t>
  </si>
  <si>
    <t xml:space="preserve">я ищу его родственников или знакомых, может что с ним случилось, может попал </t>
  </si>
  <si>
    <t>г.р.</t>
  </si>
  <si>
    <t>Предоплата</t>
  </si>
  <si>
    <t>от</t>
  </si>
  <si>
    <t>ID</t>
  </si>
  <si>
    <t>ПИН:</t>
  </si>
  <si>
    <t xml:space="preserve"> 2. ПРАВА И ОБЯЗАННОСТИ СТОРОН</t>
  </si>
  <si>
    <t>2.1. Арендодатель имеет право:</t>
  </si>
  <si>
    <t>2.3. Арендодатель обязуется:</t>
  </si>
  <si>
    <t>2.4. Арендатор обязуется:</t>
  </si>
  <si>
    <t>предусмотренного сторонами в Приложении №1. На момент возврата оборудование должно быть исправным, в полной</t>
  </si>
  <si>
    <t>комплектации и в чистом виде. В противном случае, Арендодатель имеет право  не принимать данное оборудование до полного</t>
  </si>
  <si>
    <t>устранения недостатков, или выставить счет на оплату за дополнительные услуги  (чистку, мойку, приведение в надлежащий вид).</t>
  </si>
  <si>
    <t xml:space="preserve">2.6. Арендатор обязан принять меры для возврата имущества в чистом виде, в противном случае с Арендатора взимается </t>
  </si>
  <si>
    <t>питания, утраты защитных элементов, появления посторонних звуков в работе и других проявлений неисправности.</t>
  </si>
  <si>
    <t>____________________________________________________</t>
  </si>
  <si>
    <t>(Расшифровка подписи)</t>
  </si>
  <si>
    <r>
      <t xml:space="preserve">                    </t>
    </r>
    <r>
      <rPr>
        <sz val="16"/>
        <color theme="0"/>
        <rFont val="Calibri"/>
        <family val="2"/>
        <charset val="204"/>
        <scheme val="minor"/>
      </rPr>
      <t>,</t>
    </r>
    <r>
      <rPr>
        <sz val="16"/>
        <color theme="1"/>
        <rFont val="Calibri"/>
        <family val="2"/>
        <scheme val="minor"/>
      </rPr>
      <t xml:space="preserve">- не передавать свои права и обязанности по настоящему Договору, другому лицу, а также не </t>
    </r>
    <r>
      <rPr>
        <sz val="16"/>
        <color theme="1"/>
        <rFont val="Calibri"/>
        <family val="2"/>
        <charset val="204"/>
        <scheme val="minor"/>
      </rPr>
      <t>вносить Имущество</t>
    </r>
  </si>
  <si>
    <t>5.6. В случае утраты или невозврата оборудования, Арендатор возмещает Арендодателю рыночную стоимость утраченного</t>
  </si>
  <si>
    <t>оборудования, указанную в Акте приема передачи.</t>
  </si>
  <si>
    <r>
      <t>5.7. Арендодатель не несет ответственности за травмы и несчастные случаи, произошедшие с Арендатором.</t>
    </r>
    <r>
      <rPr>
        <sz val="16"/>
        <color theme="1"/>
        <rFont val="Calibri"/>
        <family val="2"/>
        <charset val="204"/>
        <scheme val="minor"/>
      </rPr>
      <t xml:space="preserve"> Арендодатель не несет </t>
    </r>
  </si>
  <si>
    <t>ответственности за вред, причиненный третьим лицам и их имуществу с помощью имущества Арендодателя.</t>
  </si>
  <si>
    <t>7.3. При подписании данного договора Арендатор дает согласие на хранение и обработку, своих персональных данных,</t>
  </si>
  <si>
    <t>Интернет и в черных списках на сайтах не надежных арендаторов, в случае возникновения долговых обязательств перед</t>
  </si>
  <si>
    <t>Арендодателем.</t>
  </si>
  <si>
    <t>МКК 211041 от 05.06.2020</t>
  </si>
  <si>
    <t>ул. Ялтинская д. №  56</t>
  </si>
  <si>
    <t>3. Настоящим Арендодатель подтверждает получение предоплаты в размере</t>
  </si>
  <si>
    <t>СЧЕТ ФАКТУРА</t>
  </si>
  <si>
    <t>Стоимость оборудования</t>
  </si>
  <si>
    <t>Дата и время возврата</t>
  </si>
  <si>
    <t>Кол-во оборуд.</t>
  </si>
  <si>
    <t>Кол суток</t>
  </si>
  <si>
    <t>ИТОГО:</t>
  </si>
  <si>
    <t>3. Имущество передается в полной исправности. Работоспособность Имущества проверена Арендодателем</t>
  </si>
  <si>
    <t>4. Стороны по факту оказанных услуг претензий друг к другу не имеют.</t>
  </si>
  <si>
    <t>3. Арендодатель ознакомил Арендатора с правилами эксплуатации и хранения Имущества, с правилами техники безопасности.</t>
  </si>
  <si>
    <t>ОБЯЗАТЕЛЬСТВО</t>
  </si>
  <si>
    <t>зарегистрированный (-ая)</t>
  </si>
  <si>
    <t>по адресу</t>
  </si>
  <si>
    <t>Фактическое место  проживание</t>
  </si>
  <si>
    <t>1.</t>
  </si>
  <si>
    <t>Обязуюсь погасить задолженность в размере :</t>
  </si>
  <si>
    <t>в срок до</t>
  </si>
  <si>
    <t>Задолженность обязуюсь погашать равными долями по</t>
  </si>
  <si>
    <t>в  течении</t>
  </si>
  <si>
    <t>не позднее</t>
  </si>
  <si>
    <r>
      <rPr>
        <sz val="14"/>
        <color theme="0"/>
        <rFont val="Times New Roman"/>
        <family val="1"/>
        <charset val="204"/>
      </rPr>
      <t>,</t>
    </r>
    <r>
      <rPr>
        <sz val="14"/>
        <color theme="1"/>
        <rFont val="Times New Roman"/>
        <family val="1"/>
        <charset val="204"/>
      </rPr>
      <t>-го рабочего дня каждого месяца</t>
    </r>
  </si>
  <si>
    <t>с обязательным</t>
  </si>
  <si>
    <t>фотографированием чека оплаты задолженности и отправки его на WhatsApp этого же номера.</t>
  </si>
  <si>
    <t>2.</t>
  </si>
  <si>
    <t xml:space="preserve">каждый день просрочки, от суммы основного долга. В рамках исполнения обязательства в </t>
  </si>
  <si>
    <t>случае просрочки, в первую очередь погашается неустойка.</t>
  </si>
  <si>
    <t>3.</t>
  </si>
  <si>
    <t xml:space="preserve">Также предупрежден(а), что в случае неуплаты мною долга, дело о взыскании </t>
  </si>
  <si>
    <t>задолженности со всеми штрафными начислениями, будет передано в суд по месту нахождения</t>
  </si>
  <si>
    <t xml:space="preserve">кредитора  г. Бишкек Свердловский районный суд (по адресу ул. Ибраимова д. № 64) в порядке </t>
  </si>
  <si>
    <t>установленном действующим законодательством КР.( договорная подсудность Ст.34 ГПК К.Р.)</t>
  </si>
  <si>
    <t xml:space="preserve">4. </t>
  </si>
  <si>
    <t xml:space="preserve">В случае смены жительства и номеров телефонов обязуюсь в 3-х дневный срок </t>
  </si>
  <si>
    <t>сообщить новые данные.</t>
  </si>
  <si>
    <t>(Ф.И.О., должника)</t>
  </si>
  <si>
    <t>(подпись должника)</t>
  </si>
  <si>
    <t>(Ф.И.О., поручителя)</t>
  </si>
  <si>
    <t>(подпись поручителя)</t>
  </si>
  <si>
    <t>(Ф.И.О., кредитора)</t>
  </si>
  <si>
    <t>(подпись кредитора)</t>
  </si>
  <si>
    <t>4. Настоящий Акт составлен в 2-ух экземплярах, имеющих одинаковую юридическую силу, по одному для каждой из сторон.</t>
  </si>
  <si>
    <t xml:space="preserve"> +996 (555) 147 688</t>
  </si>
  <si>
    <t>дополнительная плата за чистку оборудования в размере 500 сом</t>
  </si>
  <si>
    <t>Год рождения</t>
  </si>
  <si>
    <t>В залоге</t>
  </si>
  <si>
    <t>Ед.Изм.</t>
  </si>
  <si>
    <t>Сут</t>
  </si>
  <si>
    <t>Расчетный период аренды</t>
  </si>
  <si>
    <r>
      <t xml:space="preserve">наказание в виде лишением свободы до 3-х лет </t>
    </r>
    <r>
      <rPr>
        <b/>
        <sz val="11"/>
        <color theme="1"/>
        <rFont val="Times New Roman"/>
        <family val="1"/>
        <charset val="204"/>
      </rPr>
      <t>ПРЕДУПРЕЖДЕН</t>
    </r>
  </si>
  <si>
    <t>паспорт</t>
  </si>
  <si>
    <t>Арендатор оплатил арендную плату Арендодателю за пользование оборудованием:</t>
  </si>
  <si>
    <t>2.5.  Если Арендатор не возвратил арендованное имущество либо возвратил его несвоевременно, то Арендатор оплачивает</t>
  </si>
  <si>
    <t xml:space="preserve">арендную плату Арендодателю за пользование имуществом за все время просрочки (за все время нахождения имущества </t>
  </si>
  <si>
    <t>Уважаемый (-ая)</t>
  </si>
  <si>
    <t>Прошу Вас до</t>
  </si>
  <si>
    <t>произвести оплату вашей задолженности и вернуть оборудование.</t>
  </si>
  <si>
    <t>(Подпись)</t>
  </si>
  <si>
    <t>Контактный телефон</t>
  </si>
  <si>
    <t>E-mail: alex.zin4@yandex.ru</t>
  </si>
  <si>
    <t>УВЕДОМЛЕНИЕ АРЕНДАТОРУ</t>
  </si>
  <si>
    <t>2. Одновременно с иском в суд подается ходатайство о применении мер по обеспечении иска.</t>
  </si>
  <si>
    <t>Меры по обеспечению иска:</t>
  </si>
  <si>
    <t xml:space="preserve">сотрудниками Пункта проката по телефону </t>
  </si>
  <si>
    <r>
      <t xml:space="preserve">Согласно договору аренды оборудования за     </t>
    </r>
    <r>
      <rPr>
        <b/>
        <sz val="14"/>
        <color theme="1"/>
        <rFont val="Calibri"/>
        <family val="2"/>
        <charset val="204"/>
        <scheme val="minor"/>
      </rPr>
      <t>№</t>
    </r>
    <r>
      <rPr>
        <sz val="14"/>
        <color theme="1"/>
        <rFont val="Calibri"/>
        <family val="2"/>
        <scheme val="minor"/>
      </rPr>
      <t xml:space="preserve"> </t>
    </r>
  </si>
  <si>
    <t>- наложение ареста на движимое имущество (включая автотранспорт).</t>
  </si>
  <si>
    <t>- денежные средства, принадлежащие ответчику и находящиеся у него или у других лиц.</t>
  </si>
  <si>
    <t>- установление ограничения на Ваш выезд за пределы Кыргызской Республики.</t>
  </si>
  <si>
    <t>- наложение ареста на недвижимое имущество.</t>
  </si>
  <si>
    <t>- арест, опись, изъятие и реализация Вашего имущества.</t>
  </si>
  <si>
    <t>Дата и время выдачи   Имущества</t>
  </si>
  <si>
    <t>Стоимость аренды (найма) Имущества за 1 сутки</t>
  </si>
  <si>
    <t xml:space="preserve">                        Договор аренды оборудования (имущественного найма)</t>
  </si>
  <si>
    <t xml:space="preserve">3.4. Арендатор (наниматель) обязан своевременно вносить плату за пользованием имуществом. (в соответствии со ст. 551 ГК.К.Р.)  </t>
  </si>
  <si>
    <t>неустойку, в размере 1 (один) % от стоимости оборудования, за каждые сутки просрочки (стоимость оборудования указана</t>
  </si>
  <si>
    <t>3.6. В случае просрочки арендного платежа в установленный договором срок (5 (пять) рабочих дней), Арендатор оплачивает</t>
  </si>
  <si>
    <t>Возвратить оборудование Арендодателю в день окончания срока аренды Имущества с учетом точного времени,</t>
  </si>
  <si>
    <t>в акте приема передачи)</t>
  </si>
  <si>
    <t>в уставной капитал в хозяйственные товарищества и общества или в качестве паевого взноса в иные кооперативы;</t>
  </si>
  <si>
    <t>в пункт проката для продления договора аренды на новый срок.</t>
  </si>
  <si>
    <t>досудебного урегулирования спора (коллекторские, детективные, юридические организации),  либо, при наличии признаков</t>
  </si>
  <si>
    <t>мошенничества, причинение имущественного ущерба, обмана или злоупотребления доверием, обратиться в правоохранительные</t>
  </si>
  <si>
    <t>органы с целью возбуждения ими уголовного дела. При этом виновное лицо оплачивает расходы, понесённые Арендодателем.</t>
  </si>
  <si>
    <t>2.2. Устанавливать причины повреждения Оборудования и определять размер ущерба причинённый Арендатором.</t>
  </si>
  <si>
    <t>у Арендатора) в соответствии со ч 2. ст.561 ГК.К.Р. пункт 2</t>
  </si>
  <si>
    <t>Вы взяли во временное пользование Имущество и обязались оплатить арендную плату за пользование и возвратить</t>
  </si>
  <si>
    <t>подписания данного Акта.</t>
  </si>
  <si>
    <t>(стоимость оборудования указана в акте приема передачи)</t>
  </si>
  <si>
    <t>рабочих дней), Арендатор оплачивает неустойку, в размере 1 (один) % от стоимости оборудования, за каждые сутки просрочки</t>
  </si>
  <si>
    <t>6. Настоящий Акт составлен в 2-ух экземплярах, имеющих одинаковую юридическую силу, по одному для каждой из сторон.</t>
  </si>
  <si>
    <t>Согласно пункту 3.6. Неустойка  1% за каждые сутки просрочки арендного платежа</t>
  </si>
  <si>
    <t>Количество суток просрочки арендного платежа</t>
  </si>
  <si>
    <t>Количество суток просрочки невозврата Имущества</t>
  </si>
  <si>
    <t>Расчет неустоек</t>
  </si>
  <si>
    <t>4. Арендатор обязуется оплатить образовавшуюся задолженность в размере</t>
  </si>
  <si>
    <t xml:space="preserve">5. Согласно пункту 3.6. договора аренды оборудования: В случае просрочки арендного платежа в установленный договором срок (5 (пять) </t>
  </si>
  <si>
    <t>Количество оборудования</t>
  </si>
  <si>
    <t>Наименование Имущества</t>
  </si>
  <si>
    <t>Наименование        Имущества</t>
  </si>
  <si>
    <t xml:space="preserve">3. Арендатор обязуется оплатить арендную плату за пользование Имуществом, не позднее 5 (пяти) рабочих </t>
  </si>
  <si>
    <t>4. Арендатор добровольно передает личный паспорт гражданина в залог за арендуемое оборудование.</t>
  </si>
  <si>
    <t>5. Исправность имущества, сдаваемого в аренду проверена Арендодателем в присутствии Арендатора.</t>
  </si>
  <si>
    <t>6. Имущество передается Арендатору и возвращается по месту нахождения пункта проката Арендодателя</t>
  </si>
  <si>
    <t>Установленный договором срок возврата Имущества и оплаты арендной оплаты истек:</t>
  </si>
  <si>
    <t>Вы не возвратили арендованное имущество в оговоренный срок и не оплатили стоимость арендной платы за пользование</t>
  </si>
  <si>
    <t>Имуществом.</t>
  </si>
  <si>
    <t>уведомляет что на</t>
  </si>
  <si>
    <t>у Вас имеется задолженность по арендной плате за пользование</t>
  </si>
  <si>
    <t>Имуществом в размере:</t>
  </si>
  <si>
    <t>в размере 1 (один) % от стоимости оборудования, за каждые сутки просрочки (стоимость оборудования указана в акте</t>
  </si>
  <si>
    <t>2.7. В случае задержки имущества более оговоренного срока, известить об этом Арендодателя за 1-и сутки и лично явится</t>
  </si>
  <si>
    <t>2.8. В случае невозвращения нанятого имущества в установленный договором срок, Арендатор оплачивает неустойку,</t>
  </si>
  <si>
    <t xml:space="preserve">2.9. Арендатор обязан немедленно прекратить работу инструмента, оборудования при нарушении электро-изоляции кабелей </t>
  </si>
  <si>
    <t>Согласно пункту 2.8. Неустойка  1% за каждые сутки просрочки не возврата Имущества</t>
  </si>
  <si>
    <t>произвести оплату вашей задолженности и неустойки и вернуть оборудование.</t>
  </si>
  <si>
    <t>сутки просрочки.</t>
  </si>
  <si>
    <t>Итого к оплате :</t>
  </si>
  <si>
    <t>Согласно пункту 7.3. Договора аренды оборудования, Вы будете добавлены в общий черный список недобросовестных</t>
  </si>
  <si>
    <t>арендаторов по всему СНГ, а также Ваши данные будут размещены в аналогичных списках в социальных сетях в всемирной</t>
  </si>
  <si>
    <t>Ввиду вышеизложенного Вам необходимо произвести оплату образовавшейся задолженности и вернуть оборудование.</t>
  </si>
  <si>
    <t>сети Интернет ("Одноклассники", "Фейсбук", "Инстаграм", "В контакте" и т. д.). Данные списки являются общедоступными,</t>
  </si>
  <si>
    <t>Ввиду вышеизложенного прошу Вас незамедлительно принять решение по моей претензии!!!</t>
  </si>
  <si>
    <t>ПРЕТЕНЗИЯ О ЗАДОЛЖНОСТИ</t>
  </si>
  <si>
    <t xml:space="preserve">получение информации, носящий рекламный характер, а также на  публикацию ФИО, даты рождения, фотографий в сети </t>
  </si>
  <si>
    <t>В случае неуплаты до указанного срока вышеуказанной денежной суммы и невозврата оборудования в отношении Вас</t>
  </si>
  <si>
    <t>на этих интернет ресурсах (сайтах) (Ваши фотографию, копию паспорта и т.д.)</t>
  </si>
  <si>
    <t>А также все Ваши родственники и друзья будут проинформированы о Вашей задолженности.</t>
  </si>
  <si>
    <t>ДОСУДЕБНАЯ ПРЕТЕНЗИЯ</t>
  </si>
  <si>
    <t>за пользованием Имуществом и задолженность по уплате неустоек (штрафов, пени) по договору  имущественного найма.</t>
  </si>
  <si>
    <t xml:space="preserve">у Вас имеется просроченная задолженность по арендной плате </t>
  </si>
  <si>
    <t>В связи с грубым нарушением обязательств по несвоевременной арендной плате за пользованием Имуществом, с грубым</t>
  </si>
  <si>
    <t>нарушением обязательств по невозврату арендованного Имущества.</t>
  </si>
  <si>
    <t>в размере:</t>
  </si>
  <si>
    <t>носят безусловный и неоспоримый характер. Опираясь на имеющуюся судебную практику в подобных делах у меня, есть все</t>
  </si>
  <si>
    <t xml:space="preserve">вынесен надлежащий судебный акт и выдан исполнительный документ. </t>
  </si>
  <si>
    <t>основания предполагать, что законные требования о взыскании с Вас задолженности будут судом удовлетворены, и будет</t>
  </si>
  <si>
    <t>производства действия которого будут направленны на:</t>
  </si>
  <si>
    <t>- розыск, арест, денежных средств, находящихся на всех Ваших банковских счетах (в том числе кредитных и депозитных).</t>
  </si>
  <si>
    <t>- установление ограничения на Ваш выезд за пределы Кыргызской Республики до момента погашения задолженности.</t>
  </si>
  <si>
    <t xml:space="preserve">Помимо этого я оставляю за собой право обратится в правоохранительные органы с целью возбуждения ими в отношении </t>
  </si>
  <si>
    <t>до 3 лет)</t>
  </si>
  <si>
    <t>наказания вплоть до лишения свободы до 3 лет)</t>
  </si>
  <si>
    <t>обмана или злоупотребления доверием)- предусмотрено наказания вплоть до лишения свободы до 3 лет)</t>
  </si>
  <si>
    <t xml:space="preserve">получения согласий должника (соответственно, в дальнейшем я не буду нести ответственность за действие третьих лиц </t>
  </si>
  <si>
    <t xml:space="preserve"> В отношении Вас инициировано официальное разбирательство:</t>
  </si>
  <si>
    <t xml:space="preserve">Во избежание негативных последствий, указанных выше, Вам необходимо СРОЧНО!!! связаться с </t>
  </si>
  <si>
    <t xml:space="preserve">  и оплатить задолженность</t>
  </si>
  <si>
    <t>2. Оговоренный срок возврата и арендной оплаты за пользование Имуществом</t>
  </si>
  <si>
    <t>Арендатор возвращает, а Арендодатель принимает следующее Имущество и рассчитывает арендную плату за пользование оборудованием:</t>
  </si>
  <si>
    <t>не позднее 5 (пяти) рабочих дней с момента</t>
  </si>
  <si>
    <t>и любой человек вбивший Ваши данные в интернете сразу получит всю имеющуюся информацию о Вас, находящуюся</t>
  </si>
  <si>
    <r>
      <t xml:space="preserve">                    </t>
    </r>
    <r>
      <rPr>
        <sz val="16"/>
        <color theme="0"/>
        <rFont val="Calibri"/>
        <family val="2"/>
        <charset val="204"/>
        <scheme val="minor"/>
      </rPr>
      <t>,</t>
    </r>
    <r>
      <rPr>
        <sz val="16"/>
        <color theme="1"/>
        <rFont val="Calibri"/>
        <family val="2"/>
        <scheme val="minor"/>
      </rPr>
      <t>- по требованию Арендодателя предоставлять документ, удостоверяющий личность.</t>
    </r>
  </si>
  <si>
    <t>7.1. Настоящий Договор составлен в 2-ух экземплярах, имеющих одинаковую юридическую силу, по одному для каждой из сторон.</t>
  </si>
  <si>
    <t>4.1. Настоящий Договор вступает в силу с момента подписания и действует до полного исполнения сторонами своих обязательств.</t>
  </si>
  <si>
    <r>
      <rPr>
        <b/>
        <sz val="16"/>
        <color theme="1"/>
        <rFont val="Calibri"/>
        <family val="2"/>
        <charset val="204"/>
        <scheme val="minor"/>
      </rPr>
      <t>5.8.</t>
    </r>
    <r>
      <rPr>
        <b/>
        <u/>
        <sz val="16"/>
        <color theme="1"/>
        <rFont val="Calibri"/>
        <family val="2"/>
        <charset val="204"/>
        <scheme val="minor"/>
      </rPr>
      <t xml:space="preserve"> Арендатор подтверждает, что он дееспособен и не страдает заболеваниями, препятствующими осознать суть Договора.</t>
    </r>
  </si>
  <si>
    <t xml:space="preserve">5.4. Арендодатель вправе досрочно расторгнуть настоящий Договор, если Арендатор использует Имущество не в соответствии с </t>
  </si>
  <si>
    <t>его назначением, либо ухудшает качество Имущества.</t>
  </si>
  <si>
    <t>5.3. Все риски, связанные с потерей или кражей, порчей или повреждением Имущества, независимо от того, исправим или</t>
  </si>
  <si>
    <t>неисправим ущерб, принимает на себя Арендатор.</t>
  </si>
  <si>
    <t>6.1. Все споры или разногласия, возникающие между сторонами по настоящему Договору или в связи с ним, разрешаются путем</t>
  </si>
  <si>
    <t>переговоров между сторонами.</t>
  </si>
  <si>
    <t>6.2. В случае невозможности разрешения споров путем переговоров, они подлежат рассмотрению в суде по месту нахождения</t>
  </si>
  <si>
    <t>законодательством КР.( договорная подсудность ст.34 ГПК К.Р.)</t>
  </si>
  <si>
    <t>7.3. При подписании данного договора Арендатор дает согласие на хранение и обработку, своих персональных данных, получение</t>
  </si>
  <si>
    <t>информации, носящий рекламный характер а также на  публикацию ФИО, даты рождения, фотографий в сети Интернет  в черных</t>
  </si>
  <si>
    <t>списках на сайтах не надежных арендаторов, в случае возникновения долговых обязательств перед Арендодателем.</t>
  </si>
  <si>
    <t>5.1 В случае неисполнения либо ненадлежащего исполнения Арендатором обязательств по возврату Имущества, возмещению</t>
  </si>
  <si>
    <t>убытков Арендодателя и уплаты штрафа или неустоек предусмотренных настоящим Договором, Арендодатель вправе предпринять</t>
  </si>
  <si>
    <t>предусмотренные законодательством меры  по взысканию с Арендатора указанных денежных средств, в том числе привлекая к</t>
  </si>
  <si>
    <t>взысканию третьих лиц.</t>
  </si>
  <si>
    <t>4.3. Имущество, указанное в приложении №1 к настоящему Договору должно быть передано Арендатору  после подписания</t>
  </si>
  <si>
    <t>настоящего Договора и Акта приема-передачи Имущества.</t>
  </si>
  <si>
    <t xml:space="preserve">4.2. В случае желания Арендатора продлить настоящий Договор, он должен лично или по телефону обратится к Арендодателю в </t>
  </si>
  <si>
    <t>течение 1 суток до окончания срока действия настоящего Договора.</t>
  </si>
  <si>
    <t>3.5. При возврате Имущества, Арендатор обязан оплатить арендную плату за пользование Имуществом, не позднее 5 (пяти)</t>
  </si>
  <si>
    <t>рабочих дней с момента возврата Имущества Арендодателю.</t>
  </si>
  <si>
    <t>израсходовал, и складывается из стоимости 1 мм алмазного диска или коронки за 1 мм сегмента. Рабочая поверхность алмазного</t>
  </si>
  <si>
    <t>3.3. Цена аренды алмазного диска или коронки, рассчитывается исходя из количества миллиметров, которые Арендатор</t>
  </si>
  <si>
    <t>диска или коронки измеряется штангенциркулем на момент выдачи и возврата диска или коронки. Разницу в выработке оплачивает</t>
  </si>
  <si>
    <t>Арендатор согласно стоимости 1 мм рабочей поверхности диска или коронки. Округление выработки при замере осуществляется</t>
  </si>
  <si>
    <t>в большую сторону с шагом 1 мм.</t>
  </si>
  <si>
    <t>3.2. За пользование Имуществом, предоставленным по настоящему Договору, Арендатор единовременно уплачивает сумму</t>
  </si>
  <si>
    <t>и сдать Имущество в течение 1-х суток с</t>
  </si>
  <si>
    <t>момента поломки в пункт выдачи для выяснения причин поломки;</t>
  </si>
  <si>
    <r>
      <rPr>
        <sz val="16"/>
        <color theme="0"/>
        <rFont val="Calibri"/>
        <family val="2"/>
        <charset val="204"/>
        <scheme val="minor"/>
      </rPr>
      <t xml:space="preserve">                    ,</t>
    </r>
    <r>
      <rPr>
        <sz val="16"/>
        <color theme="1"/>
        <rFont val="Calibri"/>
        <family val="2"/>
        <scheme val="minor"/>
      </rPr>
      <t>- эксплуатировать полученное Имущество в соответствии с правилами его эксплуатации и</t>
    </r>
    <r>
      <rPr>
        <sz val="16"/>
        <color theme="1"/>
        <rFont val="Calibri"/>
        <family val="2"/>
        <charset val="204"/>
        <scheme val="minor"/>
      </rPr>
      <t xml:space="preserve"> техническими </t>
    </r>
  </si>
  <si>
    <t>характеристиками, соблюдая технику безопасности;</t>
  </si>
  <si>
    <t>2.8. В случае невозвращения нанятого имущества в установленный договором срок, Арендатор оплачивает неустойку, в размере</t>
  </si>
  <si>
    <t>1 (один) % от стоимости оборудования, за каждые сутки просрочки (стоимость оборудования указана в акте приема передачи)</t>
  </si>
  <si>
    <t xml:space="preserve">в соответствии со ч 2. ст.561 ГК.К.Р. пункт 2. </t>
  </si>
  <si>
    <t>безопасности.</t>
  </si>
  <si>
    <t>1.1. Арендодатель обязуется передать во временное пользование инструменты, машины и другое оборудование для выполнения</t>
  </si>
  <si>
    <t>строительных работ, именуемое в дальнейшем «Имущество», а Арендатор в свою очередь обязуется оплатить арендную плату за</t>
  </si>
  <si>
    <t xml:space="preserve">к настоящему Договору. </t>
  </si>
  <si>
    <t xml:space="preserve">1.3. Имущество, предоставляемое в аренду по настоящему Договору, должно использоваться по прямому назначению в </t>
  </si>
  <si>
    <t>соответствии с Правилами аренды строительного инструмента.</t>
  </si>
  <si>
    <t>- в присутствии Арендатора проверить исправность Имущества, отсутствие внешних дефектов, наличие контрольных пломб,</t>
  </si>
  <si>
    <t>комплектность и т.д.;</t>
  </si>
  <si>
    <t>-  ознакомить Арендатора с правилами предоставления Имущества в аренду и прейскурантом стоимости аренды строительного</t>
  </si>
  <si>
    <t>инструмента;</t>
  </si>
  <si>
    <t xml:space="preserve">- ознакомить Арендатора с правилами эксплуатации Имущества, и его техническими характеристиками. </t>
  </si>
  <si>
    <t>Кроме того, негативная информация о неоплате Вами задолженности передается в Бюро кредитных историй.</t>
  </si>
  <si>
    <t>Вас административных и уголовных дел :</t>
  </si>
  <si>
    <t>А также напоминаю Вам, что заключённый между нами договор имущественного найма содержит следующие пункты:</t>
  </si>
  <si>
    <t>оборудование в порядке и сроки указанные в Приложении №1 настоящего договора аренды оборудования.</t>
  </si>
  <si>
    <t>Уверен Вы, Осознаете что мои требования основываются на подписанном Вами договоре аренды оборудования и поэтому</t>
  </si>
  <si>
    <t>результате чего сумма, подлежащая к взысканию, значительно увеличится на сумму расходов государственной пошлины,</t>
  </si>
  <si>
    <t>исполнительного сбора, оплату юридических услуг представителей и других судебных издержек.</t>
  </si>
  <si>
    <t>1. Уже подготовленно  «дело» (подборка документов) о взыскании с Вас задолженности в принудительном порядке через суд. В</t>
  </si>
  <si>
    <r>
      <t>-</t>
    </r>
    <r>
      <rPr>
        <b/>
        <sz val="14"/>
        <color theme="1"/>
        <rFont val="Calibri"/>
        <family val="2"/>
        <charset val="204"/>
        <scheme val="minor"/>
      </rPr>
      <t xml:space="preserve"> По ст. 209 УК.К.Р. </t>
    </r>
    <r>
      <rPr>
        <sz val="14"/>
        <color theme="1"/>
        <rFont val="Calibri"/>
        <family val="2"/>
        <scheme val="minor"/>
      </rPr>
      <t>(мошенничество, то есть завладение чужим имуществом или приобретение  права на имущество путем</t>
    </r>
  </si>
  <si>
    <r>
      <rPr>
        <b/>
        <sz val="14"/>
        <color theme="1"/>
        <rFont val="Calibri"/>
        <family val="2"/>
        <charset val="204"/>
        <scheme val="minor"/>
      </rPr>
      <t>- По ст. 210 УК.К.Р</t>
    </r>
    <r>
      <rPr>
        <sz val="14"/>
        <color theme="1"/>
        <rFont val="Calibri"/>
        <family val="2"/>
        <scheme val="minor"/>
      </rPr>
      <t xml:space="preserve">. </t>
    </r>
    <r>
      <rPr>
        <sz val="14"/>
        <color theme="1"/>
        <rFont val="Calibri"/>
        <family val="2"/>
        <charset val="204"/>
        <scheme val="minor"/>
      </rPr>
      <t>(</t>
    </r>
    <r>
      <rPr>
        <sz val="14"/>
        <color theme="1"/>
        <rFont val="Calibri"/>
        <family val="2"/>
        <scheme val="minor"/>
      </rPr>
      <t>присвоение или растрата вверенного имущества</t>
    </r>
    <r>
      <rPr>
        <sz val="14"/>
        <color theme="1"/>
        <rFont val="Calibri"/>
        <family val="2"/>
        <charset val="204"/>
        <scheme val="minor"/>
      </rPr>
      <t>)</t>
    </r>
    <r>
      <rPr>
        <sz val="14"/>
        <color theme="1"/>
        <rFont val="Calibri"/>
        <family val="2"/>
        <scheme val="minor"/>
      </rPr>
      <t>-предусмотрено наказания вплоть до лишения свободы</t>
    </r>
  </si>
  <si>
    <r>
      <rPr>
        <b/>
        <sz val="14"/>
        <color theme="1"/>
        <rFont val="Calibri"/>
        <family val="2"/>
        <charset val="204"/>
        <scheme val="minor"/>
      </rPr>
      <t xml:space="preserve">- По ст. 215 УК.К.Р. </t>
    </r>
    <r>
      <rPr>
        <sz val="14"/>
        <color theme="1"/>
        <rFont val="Calibri"/>
        <family val="2"/>
        <charset val="204"/>
        <scheme val="minor"/>
      </rPr>
      <t>(</t>
    </r>
    <r>
      <rPr>
        <sz val="14"/>
        <color theme="1"/>
        <rFont val="Calibri"/>
        <family val="2"/>
        <scheme val="minor"/>
      </rPr>
      <t>причинение имущественного ущерба путем обмана или злоупотребления доверием</t>
    </r>
    <r>
      <rPr>
        <sz val="14"/>
        <color theme="1"/>
        <rFont val="Calibri"/>
        <family val="2"/>
        <charset val="204"/>
        <scheme val="minor"/>
      </rPr>
      <t>)</t>
    </r>
    <r>
      <rPr>
        <sz val="14"/>
        <color theme="1"/>
        <rFont val="Calibri"/>
        <family val="2"/>
        <scheme val="minor"/>
      </rPr>
      <t xml:space="preserve">- предусмотрено </t>
    </r>
  </si>
  <si>
    <r>
      <t xml:space="preserve">по взысканию с Вас задолженности) </t>
    </r>
    <r>
      <rPr>
        <b/>
        <sz val="14"/>
        <color theme="1"/>
        <rFont val="Calibri"/>
        <family val="2"/>
        <charset val="204"/>
        <scheme val="minor"/>
      </rPr>
      <t>ст.742 ГК К.Р.</t>
    </r>
  </si>
  <si>
    <r>
      <t xml:space="preserve">А также на основании </t>
    </r>
    <r>
      <rPr>
        <b/>
        <sz val="14"/>
        <color theme="1"/>
        <rFont val="Calibri"/>
        <family val="2"/>
        <charset val="204"/>
        <scheme val="minor"/>
      </rPr>
      <t>ст.739 ГК К.Р.</t>
    </r>
    <r>
      <rPr>
        <sz val="14"/>
        <color theme="1"/>
        <rFont val="Calibri"/>
        <family val="2"/>
        <scheme val="minor"/>
      </rPr>
      <t xml:space="preserve"> Арендодатель может переуступить право требования по договору третьим лицам без</t>
    </r>
  </si>
  <si>
    <r>
      <rPr>
        <b/>
        <sz val="14"/>
        <color theme="1"/>
        <rFont val="Calibri"/>
        <family val="2"/>
        <charset val="204"/>
        <scheme val="minor"/>
      </rPr>
      <t>КЫРГЫЗСКОЙ РЕСПУБЛИКИ Часть 2 статья 561 пункт 2.</t>
    </r>
    <r>
      <rPr>
        <sz val="14"/>
        <color theme="1"/>
        <rFont val="Calibri"/>
        <family val="2"/>
        <charset val="204"/>
        <scheme val="minor"/>
      </rPr>
      <t xml:space="preserve"> Неустойка в размере 1 (один) % от стоимости оборудования, за каждые </t>
    </r>
  </si>
  <si>
    <r>
      <t xml:space="preserve">Имуществом плюс неустойка, согласно пункту 2.8. Договора аренды оборудования и согласно </t>
    </r>
    <r>
      <rPr>
        <b/>
        <sz val="14"/>
        <color theme="1"/>
        <rFont val="Calibri"/>
        <family val="2"/>
        <charset val="204"/>
        <scheme val="minor"/>
      </rPr>
      <t>ГРАЖДАНСКОМУ КОДЕКСУ</t>
    </r>
  </si>
  <si>
    <r>
      <t xml:space="preserve">у Арендатора) в соответствии со </t>
    </r>
    <r>
      <rPr>
        <b/>
        <sz val="14"/>
        <color theme="1"/>
        <rFont val="Calibri"/>
        <family val="2"/>
        <charset val="204"/>
        <scheme val="minor"/>
      </rPr>
      <t>ч 2. ст.561 ГК.К.Р. пункт 2</t>
    </r>
  </si>
  <si>
    <r>
      <t xml:space="preserve">приема передачи) в соответствии со </t>
    </r>
    <r>
      <rPr>
        <b/>
        <sz val="14"/>
        <color theme="1"/>
        <rFont val="Calibri"/>
        <family val="2"/>
        <charset val="204"/>
        <scheme val="minor"/>
      </rPr>
      <t xml:space="preserve">ч 2. ст.561 ГК.К.Р. пункт 2. </t>
    </r>
  </si>
  <si>
    <t>Арендодателя, г. Бишкек Свердловский районный суд (по адресу ул. Ибраимова д. № 64) в порядке установленном действующим</t>
  </si>
  <si>
    <t>Фактическая       стоимость проката</t>
  </si>
  <si>
    <t>дней с момента возврата Имущества Арендодателю. (согласно пункту 3.6. договора аренды оборудования)</t>
  </si>
  <si>
    <t>Дата и время фактического возврата Имущества</t>
  </si>
  <si>
    <t>Оговоренная                дата и время
возврата    Имущества</t>
  </si>
  <si>
    <t>Вы взяли во временное пользование Имущество и обязались оплатить арендную плату за пользование Имуществом в сроки</t>
  </si>
  <si>
    <t>произвести оплату вашей задолженности.</t>
  </si>
  <si>
    <t>Взяли оборудование не оплатили арендную платы и не вернули оборудование</t>
  </si>
  <si>
    <r>
      <t xml:space="preserve">3.4. Арендатор (наниматель) обязан своевременно вносить плату за пользованием имуществом. (в соответствии </t>
    </r>
    <r>
      <rPr>
        <b/>
        <sz val="14"/>
        <color theme="1"/>
        <rFont val="Calibri"/>
        <family val="2"/>
        <charset val="204"/>
        <scheme val="minor"/>
      </rPr>
      <t>со ст. 551 ГК.К.Р.</t>
    </r>
    <r>
      <rPr>
        <sz val="14"/>
        <color theme="1"/>
        <rFont val="Calibri"/>
        <family val="2"/>
        <charset val="204"/>
        <scheme val="minor"/>
      </rPr>
      <t xml:space="preserve">)  </t>
    </r>
  </si>
  <si>
    <t xml:space="preserve">Имущества плюс неустойка, согласно пункту 3.6. Договора аренды оборудования Неустойка в размере 1 (один) % от стоимости </t>
  </si>
  <si>
    <r>
      <t>указанные в</t>
    </r>
    <r>
      <rPr>
        <b/>
        <sz val="14"/>
        <color theme="1"/>
        <rFont val="Calibri"/>
        <family val="2"/>
        <charset val="204"/>
        <scheme val="minor"/>
      </rPr>
      <t xml:space="preserve"> АКТЕ РАССЧЕТА АРЕНДНОЙ ПЛАТЫ</t>
    </r>
    <r>
      <rPr>
        <sz val="14"/>
        <color theme="1"/>
        <rFont val="Calibri"/>
        <family val="2"/>
        <scheme val="minor"/>
      </rPr>
      <t>. Вы обязались оплатить задолженность не позднее 5 рабочих дней с момента</t>
    </r>
  </si>
  <si>
    <r>
      <t xml:space="preserve">подписания акта. Также вы подписали </t>
    </r>
    <r>
      <rPr>
        <b/>
        <sz val="14"/>
        <color theme="1"/>
        <rFont val="Calibri"/>
        <family val="2"/>
        <charset val="204"/>
        <scheme val="minor"/>
      </rPr>
      <t>ОБЯЗАТЕЛЬСТВО</t>
    </r>
    <r>
      <rPr>
        <sz val="14"/>
        <color theme="1"/>
        <rFont val="Calibri"/>
        <family val="2"/>
        <charset val="204"/>
        <scheme val="minor"/>
      </rPr>
      <t xml:space="preserve"> по которому вы обязались погасить задолженность в срок до</t>
    </r>
  </si>
  <si>
    <t>Вы не оплатили стоимость арендной платы в оговоренный срок за пользование Имуществом.</t>
  </si>
  <si>
    <t>в соответствии со ст.320 ГК.КР., в размере 1 (один) %  от оставшейся суммы общего долга за</t>
  </si>
  <si>
    <t>Предупрежден что, в случае просрочки выплат по обязательству, будет начисляться неустойка</t>
  </si>
  <si>
    <t>суммы основного долга. В рамках исполнения обязательства в случае просрочки, в первую очередь погашается неустойка.</t>
  </si>
  <si>
    <r>
      <t>При подписании</t>
    </r>
    <r>
      <rPr>
        <b/>
        <sz val="14"/>
        <color theme="1"/>
        <rFont val="Calibri"/>
        <family val="2"/>
        <charset val="204"/>
        <scheme val="minor"/>
      </rPr>
      <t xml:space="preserve"> ОБЯЗАТЕЛЬСТВА</t>
    </r>
    <r>
      <rPr>
        <sz val="14"/>
        <color theme="1"/>
        <rFont val="Calibri"/>
        <family val="2"/>
        <charset val="204"/>
        <scheme val="minor"/>
      </rPr>
      <t xml:space="preserve"> Вас уведомили о том что, в случае просрочки выплат по обязательству, будет начисляться</t>
    </r>
  </si>
  <si>
    <r>
      <t xml:space="preserve">неустойка в соответствии со </t>
    </r>
    <r>
      <rPr>
        <b/>
        <sz val="14"/>
        <color theme="1"/>
        <rFont val="Calibri"/>
        <family val="2"/>
        <charset val="204"/>
        <scheme val="minor"/>
      </rPr>
      <t>ст.320 ГК.КР.</t>
    </r>
    <r>
      <rPr>
        <sz val="14"/>
        <color theme="1"/>
        <rFont val="Calibri"/>
        <family val="2"/>
        <charset val="204"/>
        <scheme val="minor"/>
      </rPr>
      <t xml:space="preserve">, в размере 1 (один) %  от оставшейся суммы общего долга за каждый день просрочки, от </t>
    </r>
  </si>
  <si>
    <t>Ввиду вышеизложенного Вам необходимо произвести оплату образовавшейся задолженности.</t>
  </si>
  <si>
    <r>
      <t xml:space="preserve">указанные в </t>
    </r>
    <r>
      <rPr>
        <b/>
        <sz val="14"/>
        <color theme="1"/>
        <rFont val="Calibri"/>
        <family val="2"/>
        <charset val="204"/>
        <scheme val="minor"/>
      </rPr>
      <t>АКТЕ РАССЧЕТА АРЕНДНОЙ ПЛАТЫ</t>
    </r>
    <r>
      <rPr>
        <sz val="14"/>
        <color theme="1"/>
        <rFont val="Calibri"/>
        <family val="2"/>
        <scheme val="minor"/>
      </rPr>
      <t>. Вы обязались оплатить задолженность не позднее 5 рабочих дней с момента</t>
    </r>
  </si>
  <si>
    <t>ОБЯЗАТЕЛЬСТВУ.</t>
  </si>
  <si>
    <r>
      <t xml:space="preserve">подписания акта. Также вы подписали </t>
    </r>
    <r>
      <rPr>
        <b/>
        <sz val="14"/>
        <color theme="1"/>
        <rFont val="Calibri"/>
        <family val="2"/>
        <charset val="204"/>
        <scheme val="minor"/>
      </rPr>
      <t>ОБЯЗАТЕЛЬСТВО</t>
    </r>
    <r>
      <rPr>
        <sz val="14"/>
        <color theme="1"/>
        <rFont val="Calibri"/>
        <family val="2"/>
        <charset val="204"/>
        <scheme val="minor"/>
      </rPr>
      <t xml:space="preserve"> по которому вы обязались погасить задолженность в срок до:</t>
    </r>
  </si>
  <si>
    <r>
      <t>оборудования, за каждые сутки просрочки. А также неустойка по ОБЯЗАТЕЛЬСТВУ в соответствии со</t>
    </r>
    <r>
      <rPr>
        <b/>
        <sz val="14"/>
        <color theme="1"/>
        <rFont val="Calibri"/>
        <family val="2"/>
        <charset val="204"/>
        <scheme val="minor"/>
      </rPr>
      <t xml:space="preserve"> ст.320 ГК.КР</t>
    </r>
    <r>
      <rPr>
        <sz val="14"/>
        <color theme="1"/>
        <rFont val="Calibri"/>
        <family val="2"/>
        <charset val="204"/>
        <scheme val="minor"/>
      </rPr>
      <t xml:space="preserve">., 1 (один) % от </t>
    </r>
  </si>
  <si>
    <t>действия:</t>
  </si>
  <si>
    <r>
      <t xml:space="preserve">нарушением оплаты неустоек по договору имущественного найма и с грубым нарушением оплаты неустоек по </t>
    </r>
    <r>
      <rPr>
        <b/>
        <sz val="14"/>
        <color theme="1"/>
        <rFont val="Calibri"/>
        <family val="2"/>
        <charset val="204"/>
        <scheme val="minor"/>
      </rPr>
      <t>ОБЯЗАТЕЛЬСТВУ</t>
    </r>
  </si>
  <si>
    <t>Оборудование вернули но не оплатили</t>
  </si>
  <si>
    <t>Вы не оплатили стоимость арендной платы в оговоренный срок  за пользование Имуществом. И не оплатили задолженность по</t>
  </si>
  <si>
    <t>у Вас имеется задолженность по арендной плате за использование</t>
  </si>
  <si>
    <t>будет передано в суд по месту нахождения кредитора  г. Бишкек Свердловский районный суд (по адресу ул. Ибраимова д. № 64)</t>
  </si>
  <si>
    <r>
      <t xml:space="preserve">в порядке установленном действующим законодательством КР.( договорная подсудность </t>
    </r>
    <r>
      <rPr>
        <b/>
        <sz val="14"/>
        <color theme="1"/>
        <rFont val="Calibri"/>
        <family val="2"/>
        <charset val="204"/>
        <scheme val="minor"/>
      </rPr>
      <t>Ст.34 ГПК К.Р</t>
    </r>
    <r>
      <rPr>
        <sz val="14"/>
        <color theme="1"/>
        <rFont val="Calibri"/>
        <family val="2"/>
        <charset val="204"/>
        <scheme val="minor"/>
      </rPr>
      <t>.)</t>
    </r>
  </si>
  <si>
    <t>Ввиду вышеизложенного требую от Вас незамедлительно принять решение по моей претензии!!!</t>
  </si>
  <si>
    <t>Вы не оплатили стоимость арендной платы в оговоренный срок за пользование Имуществом, не оплатили задолженность по</t>
  </si>
  <si>
    <t>Также предупреждены, что в случае неуплаты Вами долга, дело о взыскании задолженности со всеми штрафными начислениями,</t>
  </si>
  <si>
    <t>произвести оплату вашей задолженности и неустоек.</t>
  </si>
  <si>
    <t>Сумма долга</t>
  </si>
  <si>
    <t>Неустойка по ОБЯЗАТЕЛЬСТВУ 1 (один) %  от оставшейся суммы общего долга в день</t>
  </si>
  <si>
    <t>Ед. Изм.</t>
  </si>
  <si>
    <t>оставшейся суммы долга за каждый день просрочки.</t>
  </si>
  <si>
    <t>Требую до</t>
  </si>
  <si>
    <t>будут реализованы следующие действия:</t>
  </si>
  <si>
    <t>В случае неуплаты до указанного срока вышеуказанной денежной суммы в отношении Вас будут реализованы следующие</t>
  </si>
  <si>
    <t>пользование Имуществом Арендодателю, а также вернуть ему оборудование в порядке и сроки, указанные в Приложении №1</t>
  </si>
  <si>
    <t xml:space="preserve">1.2. Арендодатель и Арендатор определяют: наименование переданного Имущества, дату и время выдачи, дату и время возврата, </t>
  </si>
  <si>
    <t>1.4. Арендатор ознакомлен, Арендодателем, с правилами эксплуатации и хранения Имущества, соблюдением правил техники</t>
  </si>
  <si>
    <t>Арендодатель</t>
  </si>
  <si>
    <t>передает Арендатору следующее имущество и вместе они определили (оговорили) стоимость арендной оплаты и сроки возврата Имущества:</t>
  </si>
  <si>
    <t>2. В случае досрочного возврата имущества Арендатору возвращается сумма за неиспользованное время проката Имущества.</t>
  </si>
  <si>
    <t xml:space="preserve">При этом в случае </t>
  </si>
  <si>
    <t>5.  Настоящее Приложение составлено в 2-ух экземплярах, имеющих одинаковую юридическую силу, по одному для каждой из сторон.</t>
  </si>
  <si>
    <t>месяцев\дней</t>
  </si>
  <si>
    <t>00</t>
  </si>
  <si>
    <t>Купрей А. А.</t>
  </si>
  <si>
    <t>Депозит:</t>
  </si>
  <si>
    <t>даю настоящее обязательство И.П.</t>
  </si>
  <si>
    <t>Путем внесения наличных денег в кассу И.П.</t>
  </si>
  <si>
    <t>В этой связи согласно пункту 2.2. Договора аренды, за</t>
  </si>
  <si>
    <t>Исполнительный документ будет незамедлительно направлен судебному исполнителю для возбуждения исполнительного</t>
  </si>
  <si>
    <t>производства, действия которого будут направленны на:</t>
  </si>
  <si>
    <t xml:space="preserve"> оплатить задолженность</t>
  </si>
  <si>
    <t>Вас административных и уголовных дел.</t>
  </si>
  <si>
    <t>с другой стороны, а вместе именуемые «Стороны», заключили настоящий акт к Договору аренды оборудования о нижеследующем:</t>
  </si>
  <si>
    <t xml:space="preserve">Ф.И.О. </t>
  </si>
  <si>
    <t>ХХХ</t>
  </si>
  <si>
    <t>ХХХХХ</t>
  </si>
  <si>
    <t>ХХХХ</t>
  </si>
  <si>
    <t>МКК</t>
  </si>
  <si>
    <t>впечатление не хотелось бы думать о нем что то дурное. Но если не найду, придется</t>
  </si>
  <si>
    <t xml:space="preserve">Добрый день. Меня зовут </t>
  </si>
  <si>
    <t>Я занимаюсь</t>
  </si>
  <si>
    <t>прокатом строительного оборудования и инструмента.</t>
  </si>
  <si>
    <t xml:space="preserve">Заранее приношу свои извинения за беспокойство, хотел у Вас спросить - знаком ли Вам </t>
  </si>
  <si>
    <t xml:space="preserve">гражданин Кыргызской Республики – </t>
  </si>
  <si>
    <t>года рождения?</t>
  </si>
  <si>
    <t>Дело в том, что я ищу его родственников или знакомых, в связи с тем, что он уже более</t>
  </si>
  <si>
    <t xml:space="preserve">недели не отвечает на телефонные звонки и сообщения в WhatsApp.  </t>
  </si>
  <si>
    <t>всегда производил впечатление порядочного,</t>
  </si>
  <si>
    <t>честного и достойного человека - не хотелось бы допускать о нем каких-то негативных</t>
  </si>
  <si>
    <t>мыслей. Он неоднократно брал у меня в аренду оборудование и к нему ни разу не</t>
  </si>
  <si>
    <t xml:space="preserve">возникало никаких претензий или нареканий. </t>
  </si>
  <si>
    <t xml:space="preserve">Однако </t>
  </si>
  <si>
    <t>между мной и гражданином Кыргызской Республики</t>
  </si>
  <si>
    <t>года рождения был</t>
  </si>
  <si>
    <t xml:space="preserve">заключён официальный договор аренды оборудования. Им было взято на прокат </t>
  </si>
  <si>
    <t xml:space="preserve">следующее оборудование: </t>
  </si>
  <si>
    <t xml:space="preserve">Взятое </t>
  </si>
  <si>
    <t xml:space="preserve"> года строительное оборудование до сих пор не сдано.</t>
  </si>
  <si>
    <t>На сегодняшний день задолженность по арендной плате составляет</t>
  </si>
  <si>
    <t>составлен соответствующий Акт расчета. Он брал оборудование на несколько дней, но</t>
  </si>
  <si>
    <t>пропал и не выходил на связь.</t>
  </si>
  <si>
    <t xml:space="preserve">Я сдаю строительное оборудование в прокат людям чтобы они могли произвести </t>
  </si>
  <si>
    <t xml:space="preserve">различные строительно- монтажные работы и тем самым помогаю им чтобы они могли </t>
  </si>
  <si>
    <t>зарабатывать и обеспечивать свои семьи, или произвести у себя дома ремонт не неся при</t>
  </si>
  <si>
    <t xml:space="preserve">этом дополнительных ощутимых затрат на приобретение дорогостоящих строительных </t>
  </si>
  <si>
    <t xml:space="preserve">инструментов и оборудования, которые нужны на кратковременный период проведения </t>
  </si>
  <si>
    <t xml:space="preserve">работ и в дальнейшем использоваться не будут. </t>
  </si>
  <si>
    <t xml:space="preserve">Я всегда стараюсь войти в положение своих клиентов, даю им отсрочку по оплате или </t>
  </si>
  <si>
    <t xml:space="preserve">даю им возможность производить оплату в рассрочку без начисления штрафных </t>
  </si>
  <si>
    <t xml:space="preserve">санкций, делаю дополнительные скидки. Но когда человек постоянно обещает привезти </t>
  </si>
  <si>
    <t>оборудование и оплатить стоимость проката, а сам и при этом пропадает и элементарно</t>
  </si>
  <si>
    <t xml:space="preserve">не выходит на связь - то это вызывает недоумение и возмущение.
</t>
  </si>
  <si>
    <t xml:space="preserve">Огромная просьба, если вы его знаете и обладаете какими-то сведениями о нем, сообщить </t>
  </si>
  <si>
    <t xml:space="preserve">мне информацию о нем или передать ему чтобы он связался со мной. Мой номер </t>
  </si>
  <si>
    <t xml:space="preserve">телефона </t>
  </si>
  <si>
    <t xml:space="preserve">Я хочу решить всё мирным путем без обращения в </t>
  </si>
  <si>
    <t xml:space="preserve">соответствующие инстанции и размещения в социальных сетях информации (в частности – </t>
  </si>
  <si>
    <t>отразится его репутации. Но если он будет и дальше скрываться я буду вынужден</t>
  </si>
  <si>
    <t>прибегнуть к вышеизложенным мерам, а это чревато для него дополнительными</t>
  </si>
  <si>
    <t>немалыми расходами и подрывом его авторитета.</t>
  </si>
  <si>
    <t>Огромное спасибо за Ваше внимание и надеюсь на Ваше понимание!!!</t>
  </si>
  <si>
    <t>ПИСЬМО ДЛЯ РОДСТВЕННИКОВ И ДРУЗЕЙ № 2</t>
  </si>
  <si>
    <t>ПИСЬМО ДЛЯ РОДСТВЕННИКОВ И ДРУЗЕЙ № 1</t>
  </si>
  <si>
    <r>
      <t xml:space="preserve">занесение его данных в </t>
    </r>
    <r>
      <rPr>
        <b/>
        <sz val="12"/>
        <color theme="1"/>
        <rFont val="Times New Roman"/>
        <family val="1"/>
        <charset val="204"/>
      </rPr>
      <t>«Общереспубликанский Черный список»)</t>
    </r>
    <r>
      <rPr>
        <sz val="12"/>
        <color theme="1"/>
        <rFont val="Times New Roman"/>
        <family val="1"/>
        <charset val="204"/>
      </rPr>
      <t xml:space="preserve">, которая негативно </t>
    </r>
  </si>
  <si>
    <t xml:space="preserve">просрочке арендного платежа и не оплатили задолженность по ОБЯЗАТЕЛЬСТВУ. </t>
  </si>
  <si>
    <t>Чуйская область г. Бишкек</t>
  </si>
  <si>
    <t>ул. ХХХХХ</t>
  </si>
  <si>
    <t>2. Общая стоимость оказанных услуг составила</t>
  </si>
  <si>
    <t>5. Стороны считают условия Договора аренды оборудования выполненными и претензий друг к другу не имеют</t>
  </si>
  <si>
    <t>Реально нанесенный ущерб имуществу</t>
  </si>
  <si>
    <t>3. Арендатор обязуется оплатить образовавшуюся задолженность в размере</t>
  </si>
  <si>
    <t>Задолженность</t>
  </si>
  <si>
    <t>пытался писать смс, через различные соц. Сети все бесполезно. А по прошествии</t>
  </si>
  <si>
    <t>на новый срок. Через два три дня я пытался дозвонится до данного гражданина</t>
  </si>
  <si>
    <t>ПРЕТЕНЗИЯ О ЗАДОЛЖЕННОСТИ</t>
  </si>
  <si>
    <t>ул. Лермонтова д.№ 68</t>
  </si>
  <si>
    <t>зарегистрированный по адресу город Бишкек, улица Ялтинская 56/1, действующий на основании Свидетельства о государственной</t>
  </si>
  <si>
    <t>32282661</t>
  </si>
  <si>
    <t>Форма по ГКУД</t>
  </si>
  <si>
    <t>0310002</t>
  </si>
  <si>
    <t>Унифицированная форма № КО-2</t>
  </si>
  <si>
    <t>(организация)</t>
  </si>
  <si>
    <t>(структурное подразделение)</t>
  </si>
  <si>
    <t>Номер документа</t>
  </si>
  <si>
    <t>Дата составления</t>
  </si>
  <si>
    <t>РАСХОДНЫЙ КАССОВЫЙ ОРДЕР</t>
  </si>
  <si>
    <t>Код целевого назначения</t>
  </si>
  <si>
    <t>код структурного подразделения</t>
  </si>
  <si>
    <t>корреспондирующий счет, субсчет</t>
  </si>
  <si>
    <t>код аналитического
учета</t>
  </si>
  <si>
    <t>Выдать</t>
  </si>
  <si>
    <t>(фамилия, имя, отчество)</t>
  </si>
  <si>
    <t>(прописью)</t>
  </si>
  <si>
    <t>Руководитель организации</t>
  </si>
  <si>
    <t>(должность)</t>
  </si>
  <si>
    <t>Получил</t>
  </si>
  <si>
    <t>(сумма прописью)</t>
  </si>
  <si>
    <t>"</t>
  </si>
  <si>
    <t xml:space="preserve"> г.</t>
  </si>
  <si>
    <t>Подпись</t>
  </si>
  <si>
    <t>По</t>
  </si>
  <si>
    <t>Выдал кассир</t>
  </si>
  <si>
    <t>паспорту</t>
  </si>
  <si>
    <t>Сумма,
сом  тыйын</t>
  </si>
  <si>
    <t>Утверждена постановлением нацкомитета Кыргызской республики от 07.04.2003 №4</t>
  </si>
  <si>
    <t>(наименование, номер, дата и место выдачи документа, удостоверяющего личность получателя)</t>
  </si>
  <si>
    <t>стоимость арендной оплаты, сумму обеспечительного платежа и место возврата Имущества, в приложении №1 к  договору.</t>
  </si>
  <si>
    <t>3.1. Стоимость услуг проката и обеспечительный платеж отражены в Приложении №1 к настоящему Договору.</t>
  </si>
  <si>
    <t>в Приложении №1, составляется Акт расчета арендной платы за пользование Имуществом.</t>
  </si>
  <si>
    <t>обеспечительного платежа  в соответствии с Приложением №1 к настоящему договору. В случае увеличения сроков оговоренных</t>
  </si>
  <si>
    <t xml:space="preserve">3. Арендатор предоставляет Арендодателю обеспечительный платеж в размере </t>
  </si>
  <si>
    <t>платежа определенную сумму на покрытие реально нанесённого ущерба.</t>
  </si>
  <si>
    <t>ненадлежащего выполнения Арендатором своих обязательств по настоящему Договору, Арендодатель вправе вычесть из суммы обеспечительного</t>
  </si>
  <si>
    <t>Арендатору в момент возврата Имущества Арендодателю.</t>
  </si>
  <si>
    <t xml:space="preserve">4. При надлежащим исполнении Арендатором своих обязательств по настоящему Договору, сумма обеспечительного платежа возвращается </t>
  </si>
  <si>
    <t>Арендная оплата и обеспечительный платеж .</t>
  </si>
  <si>
    <t>Арендатором Арендодателю или путем перечисления суммы на расчетный счет Арендодателя.</t>
  </si>
  <si>
    <t>1. Обеспечительный платеж взимается на момент заключения настоящего приложения, путем передачи наличными денежных средств,</t>
  </si>
  <si>
    <t>Сумма  обеспечительного платежа</t>
  </si>
  <si>
    <t xml:space="preserve">4. Настоящим Арендодатель подтверждает получение от Арендатора суммы обеспечительного платежа в размере </t>
  </si>
  <si>
    <t xml:space="preserve"> Обеспечительный платеж</t>
  </si>
  <si>
    <t>Возврат</t>
  </si>
  <si>
    <t>0 706 147 688</t>
  </si>
  <si>
    <t>Кыргызское</t>
  </si>
  <si>
    <t>часов находясь в офисе</t>
  </si>
  <si>
    <t xml:space="preserve"> по прокату строительного инструмента расположенного по адресу</t>
  </si>
  <si>
    <t>сут.  По прошествии срока</t>
  </si>
  <si>
    <t>Предприниматель</t>
  </si>
  <si>
    <t>Филиал №</t>
  </si>
  <si>
    <t xml:space="preserve">оценивает размер  реально нанесённого ущерба в размере: </t>
  </si>
  <si>
    <t>Номер                                                 документа</t>
  </si>
  <si>
    <t>ОКПО:</t>
  </si>
  <si>
    <t>Здравствуйте!!!  Опубликуйте пожалуйста!!!  МОШЕННИК!!!</t>
  </si>
  <si>
    <t>ФИО:</t>
  </si>
  <si>
    <t>ТЕКСТ:</t>
  </si>
  <si>
    <t>Год Рождения:</t>
  </si>
  <si>
    <t>WhatsApp:</t>
  </si>
  <si>
    <t>Адрес по прописке:</t>
  </si>
  <si>
    <t>Адрес проживания:</t>
  </si>
  <si>
    <t>Что взял:</t>
  </si>
  <si>
    <t xml:space="preserve">Когда взял: </t>
  </si>
  <si>
    <t>Вернул\не вернул:</t>
  </si>
  <si>
    <t>Задолженность на дату:</t>
  </si>
  <si>
    <t>Дополнительные сведения:</t>
  </si>
  <si>
    <t>Обязательство - есть\нет:</t>
  </si>
  <si>
    <t>Профиль INSTAGRAM:</t>
  </si>
  <si>
    <t>Профиль FACEBOOK:</t>
  </si>
  <si>
    <t>Профиль Одноклассники:</t>
  </si>
  <si>
    <t>Профиль VK:</t>
  </si>
  <si>
    <t>Пункт Проката:</t>
  </si>
  <si>
    <t>#</t>
  </si>
  <si>
    <t xml:space="preserve"> Что обещал, когда обещал: </t>
  </si>
  <si>
    <t>Для публикациив соц. сетях хештеги</t>
  </si>
  <si>
    <t>И.П.</t>
  </si>
  <si>
    <t>Дата Обязательство:</t>
  </si>
  <si>
    <t>Дата Сегодня:</t>
  </si>
  <si>
    <t>Обязательство:</t>
  </si>
  <si>
    <t>Сегодня:</t>
  </si>
  <si>
    <t>версия : 24.01.2025</t>
  </si>
  <si>
    <t>Индивидуальный предприниматель</t>
  </si>
  <si>
    <t>работаю: И.П. по прокату строй.</t>
  </si>
  <si>
    <t xml:space="preserve">*Доброе время суток* </t>
  </si>
  <si>
    <t>Вас беспокоят с пункта проката строительного оборудования *LEVEL*</t>
  </si>
  <si>
    <t>По адресу: с. Лебединовка ул. Лермонтова дом № 68</t>
  </si>
  <si>
    <t>Вы брали у нас: -----</t>
  </si>
  <si>
    <t>Информирую Вас что депозит закончился</t>
  </si>
  <si>
    <t>У Вас образовалась задолженность: -------</t>
  </si>
  <si>
    <t>*РАБОЧИЙ ГРАФИК*</t>
  </si>
  <si>
    <t xml:space="preserve">С понедельника по пятницу </t>
  </si>
  <si>
    <t>*С 8:00 до 19:00*(семь часов вечера)</t>
  </si>
  <si>
    <t xml:space="preserve">Суббота </t>
  </si>
  <si>
    <t>*С 9:00 до 18:00*(шесть часов вечера)</t>
  </si>
  <si>
    <t>Воскресенье</t>
  </si>
  <si>
    <t>*ВЫХОДНОЙ*</t>
  </si>
  <si>
    <t>ОБЕД</t>
  </si>
  <si>
    <t>*С 12:50 по 13:30*</t>
  </si>
  <si>
    <t>каждый день</t>
  </si>
  <si>
    <t>ЛЕРМОНТОВА 68</t>
  </si>
  <si>
    <t xml:space="preserve">Вас беспокоят с пункта проката строительного оборудования *КЫРГЫЗПРОКАТ* </t>
  </si>
  <si>
    <t>По адресу: Куттубаева 26а/3</t>
  </si>
  <si>
    <t>Вы брали у нас: ------</t>
  </si>
  <si>
    <t>Информирую Вас, что депозит закончился</t>
  </si>
  <si>
    <t>У Вас образовалась задолженность: ------</t>
  </si>
  <si>
    <t>КЫРГЫЗ ПРОКАТ</t>
  </si>
  <si>
    <t xml:space="preserve">Вас беспокоят с пункта проката строительного оборудования *ПИШПЕК ПРОКАТ* </t>
  </si>
  <si>
    <t>По адресу: ВОРОВСКОГО 1\3</t>
  </si>
  <si>
    <t>У Вас образовалась задолженность:------</t>
  </si>
  <si>
    <t>ПИШПЕК ПРОКАТ</t>
  </si>
  <si>
    <t>Когда Вы планируете сдать оборудование?</t>
  </si>
  <si>
    <t>Сколько Вы еще планируете пользоваться оборудованием?</t>
  </si>
  <si>
    <t>*НАПОМИНАНИЕ*</t>
  </si>
  <si>
    <t>*ОПОВЕЩЕНИЕ*</t>
  </si>
  <si>
    <t>Назовите, пожалуйста дату, когда Вы планируете сдать оборудование.</t>
  </si>
  <si>
    <t xml:space="preserve">Обещали приехать сегодня, ----, ждём Вас. </t>
  </si>
  <si>
    <t>Сколько Вы еще планируете пользоваться оборудованием</t>
  </si>
  <si>
    <t>Когда Вы сдадите оборудование и оплатите арендную плату?</t>
  </si>
  <si>
    <t>Вежливое общение</t>
  </si>
  <si>
    <t>Не большой наезд</t>
  </si>
  <si>
    <t>Наезд</t>
  </si>
  <si>
    <t xml:space="preserve">Когда Вы оплатите арендную плату? </t>
  </si>
  <si>
    <t>Вы обещали приехать ----  и оплатить, но не приехали?</t>
  </si>
  <si>
    <t>Вы обещали приехать -----, но не приехали?</t>
  </si>
  <si>
    <t>Вы обещали оплатить в течении 2 часов?</t>
  </si>
  <si>
    <t>Когда Вы сдадите оборудование?</t>
  </si>
  <si>
    <t>Хорошо, единственное, Вам необходимо будет пополнить депозит на --- сом</t>
  </si>
  <si>
    <t>Вы можете продолжать пользоваться данным оборудованием, Единственное, Вам необходимо будет пополнять депозит, когда задолженность превысит 3000 сом.</t>
  </si>
  <si>
    <t>*ВАМ необходимо пополнить депозит.*</t>
  </si>
  <si>
    <t>Ваша задолженность растёт с каждым днём!</t>
  </si>
  <si>
    <t>Я буду вынужден занести Вас в чёрный список.</t>
  </si>
  <si>
    <t>Мне придется занести Вас в Черный список.</t>
  </si>
  <si>
    <t>Зачем Вы заставляете меня размещать Вас на всеобщее обозрение.</t>
  </si>
  <si>
    <t>Старые должники</t>
  </si>
  <si>
    <t>Я вынужден занести Вас в следующие чёрные списки INSTAGRAM FACEBOOK.</t>
  </si>
  <si>
    <t>Вы Размещены в Черном списке.</t>
  </si>
  <si>
    <t>*Для того чтобы пользоваться оборудованием далее, необходимо пополнить депозит на ---- сом.*</t>
  </si>
  <si>
    <t>Я так понимаю, сдавать оборудование оплачивать арендную плату Вы не собираетесь?</t>
  </si>
  <si>
    <t>Я так понимаю, оплачивать арендную плату Вы не собираетесь</t>
  </si>
  <si>
    <t>Звоню Вам, телефон не берете.</t>
  </si>
  <si>
    <t>Вы подписали Обязательство и обязались оплатить до -------- года.</t>
  </si>
  <si>
    <t>Также Вы подписали Акт расчета арендной платы по которому вы обязались оплатить не позднее 5 рабочих дней, прошло уже -- дней</t>
  </si>
  <si>
    <t>Если завтра, --------, Вы не оплатите, то будет начисляться неустойка</t>
  </si>
  <si>
    <t xml:space="preserve">С сегодняшнего дня мы начинаем начислять Вам неустойку. 1% по Акту расчета + 1% по Обязательству. </t>
  </si>
  <si>
    <t>*ВЫ чего ждете пока Ваша сумма вырастит для подачи иска на Вас в Суд???*</t>
  </si>
  <si>
    <t>*Вы адекватный человек?*</t>
  </si>
  <si>
    <t>https://arenda.lvl.kg/category/judgment/</t>
  </si>
  <si>
    <t>Дозвонится до Вас невозможно</t>
  </si>
  <si>
    <t>ФРАЗЫ ДЛЯ WhatsApp</t>
  </si>
  <si>
    <t>Вы вообще адекватный человек или ……..?????</t>
  </si>
  <si>
    <t>Сдайте ---- оплатите задолженность ----- сом и все ???</t>
  </si>
  <si>
    <t>Зачем Вы усугубляете себе же жизнь???</t>
  </si>
  <si>
    <t>ВЫ хотите через суд и в два раза больше???</t>
  </si>
  <si>
    <t xml:space="preserve">*ВАШ ДОЛГ НА ------ СОСТАВЛЯЕТ ---- СОМ* </t>
  </si>
  <si>
    <t xml:space="preserve">*ВАША ЗАДОЛЖЕННОСТЬ НА ------ СОСТАВЛЯЕТ ---- СОМ* </t>
  </si>
  <si>
    <t>*НАПОМИНАНИЕ СРОК ПОГАШЕНИЯ ДО -------*</t>
  </si>
  <si>
    <t>*Я вынужден обновить Ваши Данные в следующих чёрных списках INSTAGRAM FACEBOOK.*</t>
  </si>
  <si>
    <t>*Я буду вынужден обновить Ваши данные в чёрных списках.*</t>
  </si>
  <si>
    <t>*Сколько Вы еще планируете пользоваться оборудованием?*</t>
  </si>
  <si>
    <t>*Когда Вы планируете сдать оборудование?*</t>
  </si>
  <si>
    <t>ОК договорились ждем ВАС -------</t>
  </si>
  <si>
    <t>*ВАМ НЕОБХОДИМО ПОПОЛНИТЬ ДЕПОЗИТ.*</t>
  </si>
  <si>
    <t>*Вы обещали приехать -----, но не приехали?</t>
  </si>
  <si>
    <t>Зинченко Михаил Александрович</t>
  </si>
  <si>
    <t>регистрации индивидуального предпринимателя по Свердловскому району г. Бишкек № 003-2024-169-5930 от 08.08.2024</t>
  </si>
  <si>
    <t>ОАО Комерческий банк Кыргызстан</t>
  </si>
  <si>
    <t>"1030120300369929"</t>
  </si>
  <si>
    <t>0 (559) 727 607</t>
  </si>
  <si>
    <t>либо на расчетный счет М Банк по номеру</t>
  </si>
  <si>
    <t>И.П. Зинченко М. А.</t>
  </si>
  <si>
    <t>Зинченко М.А.</t>
  </si>
  <si>
    <t>Зинченко М. А.</t>
  </si>
  <si>
    <t>С уважением, Михаил</t>
  </si>
  <si>
    <t>22.12.2006 года рождения, паспорт: ID3219844 выдан MKK 218011от 12.02.2023 г.</t>
  </si>
  <si>
    <t>№ ID 3219844 МКК 218011 от 12.02.2023</t>
  </si>
  <si>
    <t>Среднее</t>
  </si>
  <si>
    <t>Нет</t>
  </si>
  <si>
    <t>Зинченко М. А.,</t>
  </si>
  <si>
    <t>Михаила Александровича</t>
  </si>
  <si>
    <t>и вернуть Имущество в трёхдневный срок.</t>
  </si>
  <si>
    <t xml:space="preserve"> в трёхдневный срок.</t>
  </si>
  <si>
    <t>{{CLIENT_FULLNAME}}</t>
  </si>
  <si>
    <t>=D7</t>
  </si>
  <si>
    <t>{{CLIENT_PHONE}}</t>
  </si>
  <si>
    <t>{{TOOL_NAME}}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</si>
</sst>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\ &quot;Сом&quot;_-;\-* #,##0.00\ &quot;Сом&quot;_-;_-* &quot;-&quot;??\ &quot;Сом&quot;_-;_-@_-"/>
    <numFmt numFmtId="165" formatCode="#,##0.00\ [$сом-440]"/>
    <numFmt numFmtId="166" formatCode="h:mm;@"/>
    <numFmt numFmtId="167" formatCode="#,##0.00\ &quot;Сом&quot;"/>
    <numFmt numFmtId="168" formatCode="[$-419]mmmm;@"/>
    <numFmt numFmtId="169" formatCode="mmmm"/>
    <numFmt numFmtId="170" formatCode="#,##0\ &quot;Сом&quot;"/>
    <numFmt numFmtId="171" formatCode="[$-F400]h:mm:ss\ AM/PM"/>
  </numFmts>
  <fonts count="7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6"/>
      <color theme="0"/>
      <name val="Calibri"/>
      <family val="2"/>
      <charset val="204"/>
      <scheme val="minor"/>
    </font>
    <font>
      <u/>
      <sz val="16"/>
      <color theme="1"/>
      <name val="Calibri"/>
      <family val="2"/>
      <charset val="204"/>
      <scheme val="minor"/>
    </font>
    <font>
      <b/>
      <u/>
      <sz val="16"/>
      <color theme="1"/>
      <name val="Calibri"/>
      <family val="2"/>
      <charset val="204"/>
      <scheme val="minor"/>
    </font>
    <font>
      <u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b/>
      <sz val="2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6"/>
      <color rgb="FFFF0000"/>
      <name val="Calibri"/>
      <family val="2"/>
      <charset val="204"/>
      <scheme val="minor"/>
    </font>
    <font>
      <b/>
      <sz val="18"/>
      <color rgb="FFFF0000"/>
      <name val="Calibri"/>
      <family val="2"/>
      <charset val="204"/>
      <scheme val="minor"/>
    </font>
    <font>
      <sz val="18"/>
      <color rgb="FFFF0000"/>
      <name val="Calibri"/>
      <family val="2"/>
      <scheme val="minor"/>
    </font>
    <font>
      <b/>
      <sz val="18"/>
      <name val="Calibri"/>
      <family val="2"/>
      <charset val="204"/>
      <scheme val="minor"/>
    </font>
    <font>
      <b/>
      <sz val="14"/>
      <color rgb="FFFF0000"/>
      <name val="Calibri"/>
      <family val="2"/>
      <charset val="204"/>
      <scheme val="minor"/>
    </font>
    <font>
      <sz val="8"/>
      <name val="Times New Roman"/>
      <family val="1"/>
      <charset val="204"/>
    </font>
    <font>
      <sz val="11"/>
      <name val="Times New Roman"/>
      <family val="1"/>
      <charset val="204"/>
    </font>
    <font>
      <sz val="7"/>
      <name val="Times New Roman"/>
      <family val="1"/>
      <charset val="204"/>
    </font>
    <font>
      <b/>
      <sz val="14"/>
      <name val="Times New Roman"/>
      <family val="1"/>
      <charset val="204"/>
    </font>
    <font>
      <sz val="1"/>
      <name val="Times New Roman"/>
      <family val="1"/>
      <charset val="204"/>
    </font>
    <font>
      <sz val="11"/>
      <color theme="1"/>
      <name val="Wide Latin"/>
      <family val="1"/>
    </font>
    <font>
      <b/>
      <sz val="8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7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9"/>
      <name val="Times New Roman"/>
      <family val="1"/>
      <charset val="204"/>
    </font>
    <font>
      <sz val="18"/>
      <color theme="1"/>
      <name val="Calibri"/>
      <family val="2"/>
      <charset val="204"/>
      <scheme val="minor"/>
    </font>
    <font>
      <sz val="20"/>
      <color theme="1"/>
      <name val="Calibri"/>
      <family val="2"/>
      <charset val="204"/>
      <scheme val="minor"/>
    </font>
    <font>
      <b/>
      <sz val="26"/>
      <color theme="1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u/>
      <sz val="12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i/>
      <sz val="10.8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8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scheme val="minor"/>
    </font>
    <font>
      <b/>
      <sz val="20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0"/>
      <name val="Times New Roman"/>
      <family val="1"/>
      <charset val="204"/>
    </font>
    <font>
      <sz val="8"/>
      <color theme="1"/>
      <name val="Times New Roman"/>
      <family val="1"/>
      <charset val="204"/>
    </font>
    <font>
      <b/>
      <u val="double"/>
      <sz val="16"/>
      <color theme="1"/>
      <name val="Calibri"/>
      <family val="2"/>
      <charset val="204"/>
      <scheme val="minor"/>
    </font>
    <font>
      <u/>
      <sz val="14"/>
      <color theme="1"/>
      <name val="Times New Roman"/>
      <family val="1"/>
      <charset val="204"/>
    </font>
    <font>
      <b/>
      <sz val="16"/>
      <color theme="0"/>
      <name val="Calibri"/>
      <family val="2"/>
      <charset val="204"/>
      <scheme val="minor"/>
    </font>
    <font>
      <sz val="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u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6"/>
      <color rgb="FFC00000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22"/>
      <name val="Calibri"/>
      <family val="2"/>
      <charset val="204"/>
      <scheme val="minor"/>
    </font>
    <font>
      <b/>
      <sz val="14"/>
      <color theme="1"/>
      <name val="Calibri"/>
      <family val="2"/>
      <scheme val="minor"/>
    </font>
    <font>
      <sz val="6"/>
      <name val="Times New Roman"/>
      <family val="1"/>
      <charset val="204"/>
    </font>
    <font>
      <b/>
      <sz val="6"/>
      <name val="Times New Roman"/>
      <family val="1"/>
      <charset val="204"/>
    </font>
    <font>
      <sz val="11"/>
      <color theme="0"/>
      <name val="Calibri"/>
      <family val="2"/>
      <scheme val="minor"/>
    </font>
    <font>
      <b/>
      <sz val="20"/>
      <color rgb="FFFF0000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charset val="204"/>
      <scheme val="minor"/>
    </font>
    <font>
      <b/>
      <sz val="24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horizontal="center"/>
    </xf>
    <xf numFmtId="0" fontId="69" fillId="0" borderId="0" applyNumberFormat="0" applyFill="0" applyBorder="0" applyAlignment="0" applyProtection="0"/>
  </cellStyleXfs>
  <cellXfs count="835">
    <xf numFmtId="0" fontId="0" fillId="0" borderId="0" xfId="0"/>
    <xf numFmtId="0" fontId="3" fillId="0" borderId="0" xfId="0" applyFont="1"/>
    <xf numFmtId="0" fontId="6" fillId="0" borderId="0" xfId="0" applyFont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8" fillId="0" borderId="0" xfId="0" applyFont="1"/>
    <xf numFmtId="0" fontId="7" fillId="0" borderId="0" xfId="0" applyFont="1"/>
    <xf numFmtId="1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/>
    <xf numFmtId="0" fontId="10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3" fillId="0" borderId="15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5" fillId="0" borderId="0" xfId="0" applyNumberFormat="1" applyFont="1" applyAlignment="1">
      <alignment horizontal="center"/>
    </xf>
    <xf numFmtId="0" fontId="1" fillId="0" borderId="11" xfId="0" applyFont="1" applyBorder="1"/>
    <xf numFmtId="0" fontId="2" fillId="0" borderId="0" xfId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 vertical="top"/>
    </xf>
    <xf numFmtId="0" fontId="22" fillId="0" borderId="0" xfId="0" applyFont="1" applyAlignment="1">
      <alignment horizontal="center"/>
    </xf>
    <xf numFmtId="0" fontId="23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 vertical="top"/>
    </xf>
    <xf numFmtId="0" fontId="25" fillId="0" borderId="0" xfId="0" applyFont="1"/>
    <xf numFmtId="0" fontId="28" fillId="0" borderId="0" xfId="0" applyFont="1" applyAlignment="1">
      <alignment horizontal="center"/>
    </xf>
    <xf numFmtId="1" fontId="2" fillId="3" borderId="44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 wrapText="1"/>
    </xf>
    <xf numFmtId="0" fontId="9" fillId="0" borderId="25" xfId="0" applyFont="1" applyBorder="1" applyAlignment="1">
      <alignment horizontal="center"/>
    </xf>
    <xf numFmtId="0" fontId="15" fillId="0" borderId="0" xfId="0" applyFont="1" applyAlignment="1">
      <alignment horizontal="center"/>
    </xf>
    <xf numFmtId="1" fontId="0" fillId="0" borderId="0" xfId="0" applyNumberFormat="1"/>
    <xf numFmtId="1" fontId="12" fillId="0" borderId="0" xfId="0" applyNumberFormat="1" applyFont="1"/>
    <xf numFmtId="1" fontId="2" fillId="3" borderId="6" xfId="0" applyNumberFormat="1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 wrapText="1"/>
    </xf>
    <xf numFmtId="164" fontId="0" fillId="0" borderId="0" xfId="0" applyNumberFormat="1"/>
    <xf numFmtId="164" fontId="12" fillId="0" borderId="0" xfId="0" applyNumberFormat="1" applyFont="1"/>
    <xf numFmtId="0" fontId="9" fillId="0" borderId="0" xfId="0" applyFont="1" applyAlignment="1">
      <alignment horizontal="center"/>
    </xf>
    <xf numFmtId="14" fontId="9" fillId="0" borderId="0" xfId="0" applyNumberFormat="1" applyFont="1" applyAlignment="1">
      <alignment horizontal="center"/>
    </xf>
    <xf numFmtId="0" fontId="10" fillId="0" borderId="0" xfId="0" applyFont="1"/>
    <xf numFmtId="0" fontId="32" fillId="0" borderId="0" xfId="0" applyFont="1"/>
    <xf numFmtId="0" fontId="9" fillId="2" borderId="31" xfId="0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35" fillId="0" borderId="0" xfId="0" applyFont="1" applyAlignment="1">
      <alignment vertical="center"/>
    </xf>
    <xf numFmtId="0" fontId="35" fillId="0" borderId="0" xfId="0" applyFont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14" fontId="35" fillId="0" borderId="0" xfId="0" applyNumberFormat="1" applyFont="1" applyAlignment="1">
      <alignment vertical="center"/>
    </xf>
    <xf numFmtId="0" fontId="35" fillId="0" borderId="0" xfId="0" applyFont="1"/>
    <xf numFmtId="0" fontId="35" fillId="0" borderId="11" xfId="0" applyFont="1" applyBorder="1" applyAlignment="1">
      <alignment vertical="center"/>
    </xf>
    <xf numFmtId="0" fontId="38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36" fillId="0" borderId="0" xfId="0" applyFont="1"/>
    <xf numFmtId="20" fontId="35" fillId="0" borderId="0" xfId="0" applyNumberFormat="1" applyFont="1" applyAlignment="1">
      <alignment horizontal="center" vertical="center"/>
    </xf>
    <xf numFmtId="0" fontId="40" fillId="0" borderId="0" xfId="0" applyFont="1" applyAlignment="1">
      <alignment horizontal="left" vertical="center"/>
    </xf>
    <xf numFmtId="20" fontId="36" fillId="0" borderId="0" xfId="0" applyNumberFormat="1" applyFont="1" applyAlignment="1">
      <alignment horizontal="left" vertical="center"/>
    </xf>
    <xf numFmtId="166" fontId="36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left"/>
    </xf>
    <xf numFmtId="0" fontId="35" fillId="0" borderId="11" xfId="0" applyFont="1" applyBorder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8" fillId="0" borderId="0" xfId="0" applyFont="1" applyAlignment="1">
      <alignment horizontal="left" vertical="center"/>
    </xf>
    <xf numFmtId="0" fontId="45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46" fillId="0" borderId="0" xfId="0" applyFont="1"/>
    <xf numFmtId="14" fontId="0" fillId="0" borderId="0" xfId="0" applyNumberFormat="1"/>
    <xf numFmtId="14" fontId="2" fillId="0" borderId="1" xfId="0" applyNumberFormat="1" applyFont="1" applyBorder="1" applyAlignment="1">
      <alignment horizontal="center" vertical="center"/>
    </xf>
    <xf numFmtId="14" fontId="47" fillId="0" borderId="0" xfId="0" applyNumberFormat="1" applyFont="1" applyAlignment="1">
      <alignment horizont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6" fillId="0" borderId="0" xfId="0" applyFont="1" applyAlignment="1">
      <alignment horizontal="left" vertical="center"/>
    </xf>
    <xf numFmtId="0" fontId="36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/>
    </xf>
    <xf numFmtId="0" fontId="0" fillId="0" borderId="0" xfId="0" applyAlignment="1">
      <alignment horizontal="center" vertical="top"/>
    </xf>
    <xf numFmtId="14" fontId="1" fillId="0" borderId="0" xfId="0" applyNumberFormat="1" applyFont="1" applyAlignment="1">
      <alignment horizontal="center"/>
    </xf>
    <xf numFmtId="166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7" fontId="3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5" fillId="0" borderId="0" xfId="0" applyFont="1" applyAlignment="1">
      <alignment horizontal="right" vertical="center"/>
    </xf>
    <xf numFmtId="0" fontId="36" fillId="0" borderId="0" xfId="0" applyFont="1" applyAlignment="1">
      <alignment horizontal="right" vertical="center"/>
    </xf>
    <xf numFmtId="0" fontId="50" fillId="0" borderId="0" xfId="0" applyFont="1" applyAlignment="1">
      <alignment horizontal="left" vertical="center"/>
    </xf>
    <xf numFmtId="0" fontId="50" fillId="0" borderId="0" xfId="0" applyFont="1" applyAlignment="1">
      <alignment horizontal="center" vertical="center"/>
    </xf>
    <xf numFmtId="14" fontId="50" fillId="0" borderId="0" xfId="0" applyNumberFormat="1" applyFont="1" applyAlignment="1">
      <alignment vertical="center"/>
    </xf>
    <xf numFmtId="0" fontId="50" fillId="0" borderId="0" xfId="0" applyFont="1" applyAlignment="1">
      <alignment vertical="center"/>
    </xf>
    <xf numFmtId="0" fontId="51" fillId="0" borderId="0" xfId="0" applyFont="1" applyAlignment="1">
      <alignment horizontal="center" vertical="center"/>
    </xf>
    <xf numFmtId="0" fontId="53" fillId="0" borderId="0" xfId="0" applyFont="1" applyAlignment="1">
      <alignment horizontal="center" vertical="top"/>
    </xf>
    <xf numFmtId="0" fontId="4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4" fontId="50" fillId="0" borderId="0" xfId="0" applyNumberFormat="1" applyFont="1" applyAlignment="1">
      <alignment horizontal="center" vertical="center"/>
    </xf>
    <xf numFmtId="1" fontId="50" fillId="0" borderId="0" xfId="0" applyNumberFormat="1" applyFont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/>
    </xf>
    <xf numFmtId="0" fontId="55" fillId="0" borderId="0" xfId="0" applyFont="1" applyAlignment="1">
      <alignment horizontal="center" vertical="center"/>
    </xf>
    <xf numFmtId="165" fontId="56" fillId="0" borderId="0" xfId="0" applyNumberFormat="1" applyFont="1" applyAlignment="1">
      <alignment horizontal="center"/>
    </xf>
    <xf numFmtId="166" fontId="2" fillId="0" borderId="1" xfId="0" applyNumberFormat="1" applyFont="1" applyBorder="1" applyAlignment="1">
      <alignment horizontal="center" vertical="center"/>
    </xf>
    <xf numFmtId="0" fontId="46" fillId="0" borderId="0" xfId="0" applyFont="1" applyAlignment="1">
      <alignment horizontal="left"/>
    </xf>
    <xf numFmtId="49" fontId="46" fillId="0" borderId="0" xfId="0" applyNumberFormat="1" applyFont="1" applyAlignment="1">
      <alignment horizontal="left"/>
    </xf>
    <xf numFmtId="14" fontId="46" fillId="0" borderId="0" xfId="0" applyNumberFormat="1" applyFont="1" applyAlignment="1">
      <alignment horizontal="left" vertical="center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59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46" fillId="0" borderId="0" xfId="0" applyFont="1" applyAlignment="1">
      <alignment horizontal="center"/>
    </xf>
    <xf numFmtId="14" fontId="46" fillId="0" borderId="0" xfId="0" applyNumberFormat="1" applyFont="1" applyAlignment="1">
      <alignment horizontal="center"/>
    </xf>
    <xf numFmtId="0" fontId="46" fillId="0" borderId="35" xfId="0" applyFont="1" applyBorder="1" applyAlignment="1">
      <alignment horizontal="left"/>
    </xf>
    <xf numFmtId="167" fontId="12" fillId="0" borderId="0" xfId="0" applyNumberFormat="1" applyFont="1" applyAlignment="1">
      <alignment horizontal="center"/>
    </xf>
    <xf numFmtId="14" fontId="12" fillId="0" borderId="0" xfId="0" applyNumberFormat="1" applyFont="1" applyAlignment="1">
      <alignment horizontal="center"/>
    </xf>
    <xf numFmtId="0" fontId="46" fillId="0" borderId="0" xfId="0" applyFont="1" applyAlignment="1">
      <alignment horizontal="left" vertical="center"/>
    </xf>
    <xf numFmtId="0" fontId="9" fillId="2" borderId="32" xfId="0" applyFont="1" applyFill="1" applyBorder="1" applyAlignment="1">
      <alignment horizontal="center" vertical="center" wrapText="1"/>
    </xf>
    <xf numFmtId="0" fontId="2" fillId="3" borderId="43" xfId="0" applyFont="1" applyFill="1" applyBorder="1" applyAlignment="1">
      <alignment horizontal="center" vertical="center" wrapText="1"/>
    </xf>
    <xf numFmtId="14" fontId="36" fillId="0" borderId="0" xfId="0" applyNumberFormat="1" applyFont="1" applyAlignment="1">
      <alignment horizontal="left" vertical="center"/>
    </xf>
    <xf numFmtId="0" fontId="43" fillId="0" borderId="0" xfId="0" applyFont="1" applyAlignment="1">
      <alignment horizontal="center" vertical="center"/>
    </xf>
    <xf numFmtId="14" fontId="3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left"/>
    </xf>
    <xf numFmtId="167" fontId="12" fillId="0" borderId="0" xfId="0" applyNumberFormat="1" applyFont="1"/>
    <xf numFmtId="14" fontId="12" fillId="0" borderId="0" xfId="0" applyNumberFormat="1" applyFont="1"/>
    <xf numFmtId="0" fontId="60" fillId="0" borderId="0" xfId="0" applyFont="1"/>
    <xf numFmtId="0" fontId="60" fillId="0" borderId="0" xfId="0" applyFont="1" applyAlignment="1">
      <alignment horizontal="left"/>
    </xf>
    <xf numFmtId="14" fontId="3" fillId="0" borderId="8" xfId="0" applyNumberFormat="1" applyFont="1" applyBorder="1" applyAlignment="1">
      <alignment horizontal="center"/>
    </xf>
    <xf numFmtId="166" fontId="12" fillId="0" borderId="0" xfId="0" applyNumberFormat="1" applyFont="1" applyAlignment="1">
      <alignment horizontal="center"/>
    </xf>
    <xf numFmtId="0" fontId="46" fillId="0" borderId="35" xfId="0" applyFont="1" applyBorder="1"/>
    <xf numFmtId="0" fontId="46" fillId="0" borderId="51" xfId="0" applyFont="1" applyBorder="1" applyAlignment="1">
      <alignment horizontal="left"/>
    </xf>
    <xf numFmtId="0" fontId="46" fillId="0" borderId="36" xfId="0" applyFont="1" applyBorder="1" applyAlignment="1">
      <alignment horizontal="left"/>
    </xf>
    <xf numFmtId="0" fontId="46" fillId="0" borderId="46" xfId="0" applyFont="1" applyBorder="1" applyAlignment="1">
      <alignment horizontal="center"/>
    </xf>
    <xf numFmtId="0" fontId="46" fillId="0" borderId="17" xfId="0" applyFont="1" applyBorder="1" applyAlignment="1">
      <alignment horizontal="left"/>
    </xf>
    <xf numFmtId="0" fontId="46" fillId="0" borderId="17" xfId="0" applyFont="1" applyBorder="1" applyAlignment="1">
      <alignment horizontal="left" vertical="center"/>
    </xf>
    <xf numFmtId="0" fontId="46" fillId="0" borderId="35" xfId="0" applyFont="1" applyBorder="1" applyAlignment="1">
      <alignment horizontal="left" vertical="center"/>
    </xf>
    <xf numFmtId="0" fontId="12" fillId="0" borderId="35" xfId="0" applyFont="1" applyBorder="1"/>
    <xf numFmtId="0" fontId="60" fillId="0" borderId="35" xfId="0" applyFont="1" applyBorder="1" applyAlignment="1">
      <alignment horizontal="left"/>
    </xf>
    <xf numFmtId="0" fontId="46" fillId="0" borderId="17" xfId="0" applyFont="1" applyBorder="1"/>
    <xf numFmtId="167" fontId="46" fillId="0" borderId="35" xfId="0" applyNumberFormat="1" applyFont="1" applyBorder="1"/>
    <xf numFmtId="0" fontId="46" fillId="0" borderId="52" xfId="0" applyFont="1" applyBorder="1" applyAlignment="1">
      <alignment horizontal="left"/>
    </xf>
    <xf numFmtId="0" fontId="46" fillId="0" borderId="13" xfId="0" applyFont="1" applyBorder="1" applyAlignment="1">
      <alignment horizontal="left"/>
    </xf>
    <xf numFmtId="0" fontId="46" fillId="0" borderId="48" xfId="0" applyFont="1" applyBorder="1" applyAlignment="1">
      <alignment horizontal="left"/>
    </xf>
    <xf numFmtId="0" fontId="60" fillId="0" borderId="35" xfId="0" applyFont="1" applyBorder="1"/>
    <xf numFmtId="0" fontId="62" fillId="0" borderId="0" xfId="0" applyFont="1"/>
    <xf numFmtId="0" fontId="12" fillId="0" borderId="17" xfId="0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62" fillId="0" borderId="35" xfId="0" applyFont="1" applyBorder="1"/>
    <xf numFmtId="2" fontId="2" fillId="3" borderId="6" xfId="0" applyNumberFormat="1" applyFont="1" applyFill="1" applyBorder="1" applyAlignment="1">
      <alignment horizontal="center" vertical="center" wrapText="1"/>
    </xf>
    <xf numFmtId="0" fontId="0" fillId="0" borderId="51" xfId="0" applyBorder="1"/>
    <xf numFmtId="0" fontId="0" fillId="0" borderId="36" xfId="0" applyBorder="1"/>
    <xf numFmtId="1" fontId="0" fillId="0" borderId="36" xfId="0" applyNumberFormat="1" applyBorder="1"/>
    <xf numFmtId="0" fontId="0" fillId="0" borderId="46" xfId="0" applyBorder="1"/>
    <xf numFmtId="0" fontId="0" fillId="0" borderId="17" xfId="0" applyBorder="1"/>
    <xf numFmtId="0" fontId="0" fillId="0" borderId="35" xfId="0" applyBorder="1"/>
    <xf numFmtId="0" fontId="0" fillId="0" borderId="52" xfId="0" applyBorder="1"/>
    <xf numFmtId="0" fontId="0" fillId="0" borderId="13" xfId="0" applyBorder="1"/>
    <xf numFmtId="1" fontId="0" fillId="0" borderId="13" xfId="0" applyNumberFormat="1" applyBorder="1"/>
    <xf numFmtId="0" fontId="0" fillId="0" borderId="48" xfId="0" applyBorder="1"/>
    <xf numFmtId="164" fontId="0" fillId="0" borderId="46" xfId="0" applyNumberFormat="1" applyBorder="1"/>
    <xf numFmtId="164" fontId="0" fillId="0" borderId="35" xfId="0" applyNumberFormat="1" applyBorder="1"/>
    <xf numFmtId="164" fontId="0" fillId="0" borderId="48" xfId="0" applyNumberFormat="1" applyBorder="1"/>
    <xf numFmtId="0" fontId="2" fillId="3" borderId="0" xfId="0" applyFont="1" applyFill="1"/>
    <xf numFmtId="0" fontId="46" fillId="3" borderId="0" xfId="0" applyFont="1" applyFill="1"/>
    <xf numFmtId="0" fontId="64" fillId="0" borderId="0" xfId="0" applyFont="1"/>
    <xf numFmtId="0" fontId="1" fillId="0" borderId="11" xfId="0" applyFont="1" applyBorder="1" applyAlignment="1">
      <alignment vertical="top"/>
    </xf>
    <xf numFmtId="0" fontId="0" fillId="0" borderId="11" xfId="0" applyBorder="1" applyAlignment="1">
      <alignment horizontal="center" vertical="top"/>
    </xf>
    <xf numFmtId="0" fontId="0" fillId="0" borderId="11" xfId="0" applyBorder="1"/>
    <xf numFmtId="14" fontId="35" fillId="0" borderId="0" xfId="0" applyNumberFormat="1" applyFont="1" applyAlignment="1">
      <alignment horizontal="center" vertical="center"/>
    </xf>
    <xf numFmtId="0" fontId="36" fillId="0" borderId="17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6" fillId="0" borderId="35" xfId="0" applyFont="1" applyBorder="1" applyAlignment="1">
      <alignment horizontal="center" vertical="center"/>
    </xf>
    <xf numFmtId="0" fontId="36" fillId="0" borderId="17" xfId="0" applyFont="1" applyBorder="1" applyAlignment="1">
      <alignment vertical="center"/>
    </xf>
    <xf numFmtId="0" fontId="35" fillId="0" borderId="53" xfId="0" applyFont="1" applyBorder="1" applyAlignment="1">
      <alignment vertical="center"/>
    </xf>
    <xf numFmtId="0" fontId="36" fillId="0" borderId="46" xfId="0" applyFont="1" applyBorder="1" applyAlignment="1">
      <alignment vertical="center"/>
    </xf>
    <xf numFmtId="167" fontId="35" fillId="0" borderId="35" xfId="0" applyNumberFormat="1" applyFont="1" applyBorder="1" applyAlignment="1">
      <alignment horizontal="left" vertical="center"/>
    </xf>
    <xf numFmtId="0" fontId="18" fillId="0" borderId="0" xfId="0" applyFont="1"/>
    <xf numFmtId="0" fontId="65" fillId="0" borderId="0" xfId="0" applyFont="1"/>
    <xf numFmtId="0" fontId="27" fillId="3" borderId="0" xfId="0" applyFont="1" applyFill="1" applyAlignment="1">
      <alignment horizontal="right"/>
    </xf>
    <xf numFmtId="0" fontId="24" fillId="3" borderId="11" xfId="0" applyFont="1" applyFill="1" applyBorder="1"/>
    <xf numFmtId="0" fontId="24" fillId="3" borderId="53" xfId="0" applyFont="1" applyFill="1" applyBorder="1"/>
    <xf numFmtId="0" fontId="24" fillId="3" borderId="0" xfId="0" applyFont="1" applyFill="1" applyAlignment="1">
      <alignment horizontal="center"/>
    </xf>
    <xf numFmtId="0" fontId="25" fillId="3" borderId="0" xfId="0" applyFont="1" applyFill="1" applyAlignment="1">
      <alignment horizontal="center"/>
    </xf>
    <xf numFmtId="0" fontId="26" fillId="3" borderId="0" xfId="0" applyFont="1" applyFill="1" applyAlignment="1">
      <alignment horizontal="center" vertical="top"/>
    </xf>
    <xf numFmtId="0" fontId="25" fillId="3" borderId="0" xfId="0" applyFont="1" applyFill="1" applyAlignment="1">
      <alignment horizontal="right"/>
    </xf>
    <xf numFmtId="0" fontId="25" fillId="3" borderId="0" xfId="0" applyFont="1" applyFill="1" applyAlignment="1">
      <alignment horizontal="left"/>
    </xf>
    <xf numFmtId="0" fontId="30" fillId="3" borderId="0" xfId="0" applyFont="1" applyFill="1" applyAlignment="1">
      <alignment vertical="top"/>
    </xf>
    <xf numFmtId="0" fontId="25" fillId="3" borderId="11" xfId="0" applyFont="1" applyFill="1" applyBorder="1"/>
    <xf numFmtId="0" fontId="25" fillId="3" borderId="3" xfId="0" applyFont="1" applyFill="1" applyBorder="1"/>
    <xf numFmtId="0" fontId="28" fillId="3" borderId="0" xfId="0" applyFont="1" applyFill="1" applyAlignment="1">
      <alignment horizontal="center"/>
    </xf>
    <xf numFmtId="0" fontId="25" fillId="3" borderId="11" xfId="0" applyFont="1" applyFill="1" applyBorder="1" applyAlignment="1">
      <alignment horizontal="center"/>
    </xf>
    <xf numFmtId="0" fontId="24" fillId="3" borderId="0" xfId="0" applyFont="1" applyFill="1" applyAlignment="1">
      <alignment horizontal="right"/>
    </xf>
    <xf numFmtId="0" fontId="24" fillId="3" borderId="0" xfId="0" applyFont="1" applyFill="1"/>
    <xf numFmtId="0" fontId="24" fillId="0" borderId="0" xfId="0" applyFont="1"/>
    <xf numFmtId="0" fontId="66" fillId="3" borderId="0" xfId="0" applyFont="1" applyFill="1"/>
    <xf numFmtId="0" fontId="66" fillId="0" borderId="0" xfId="0" applyFont="1"/>
    <xf numFmtId="49" fontId="24" fillId="3" borderId="0" xfId="0" applyNumberFormat="1" applyFont="1" applyFill="1"/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10" fillId="2" borderId="14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166" fontId="10" fillId="2" borderId="15" xfId="0" applyNumberFormat="1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166" fontId="3" fillId="0" borderId="15" xfId="0" applyNumberFormat="1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166" fontId="3" fillId="0" borderId="15" xfId="0" applyNumberFormat="1" applyFont="1" applyBorder="1" applyAlignment="1">
      <alignment horizontal="center" vertical="center"/>
    </xf>
    <xf numFmtId="0" fontId="21" fillId="3" borderId="0" xfId="0" applyFont="1" applyFill="1" applyAlignment="1">
      <alignment vertical="center"/>
    </xf>
    <xf numFmtId="0" fontId="21" fillId="3" borderId="11" xfId="0" applyFont="1" applyFill="1" applyBorder="1" applyAlignment="1">
      <alignment vertical="center"/>
    </xf>
    <xf numFmtId="0" fontId="25" fillId="3" borderId="16" xfId="0" applyFont="1" applyFill="1" applyBorder="1"/>
    <xf numFmtId="0" fontId="25" fillId="3" borderId="0" xfId="0" applyFont="1" applyFill="1"/>
    <xf numFmtId="0" fontId="1" fillId="3" borderId="0" xfId="0" applyFont="1" applyFill="1"/>
    <xf numFmtId="171" fontId="12" fillId="0" borderId="16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0" fillId="0" borderId="51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17" xfId="0" applyBorder="1" applyAlignment="1">
      <alignment horizontal="center"/>
    </xf>
    <xf numFmtId="14" fontId="0" fillId="0" borderId="0" xfId="0" applyNumberFormat="1" applyAlignment="1">
      <alignment horizontal="left"/>
    </xf>
    <xf numFmtId="0" fontId="0" fillId="0" borderId="35" xfId="0" applyBorder="1" applyAlignment="1">
      <alignment horizontal="left"/>
    </xf>
    <xf numFmtId="167" fontId="0" fillId="0" borderId="35" xfId="0" applyNumberFormat="1" applyBorder="1" applyAlignment="1">
      <alignment horizontal="left"/>
    </xf>
    <xf numFmtId="0" fontId="67" fillId="0" borderId="0" xfId="0" applyFont="1"/>
    <xf numFmtId="0" fontId="2" fillId="0" borderId="0" xfId="0" applyFont="1" applyAlignment="1">
      <alignment vertical="center"/>
    </xf>
    <xf numFmtId="14" fontId="3" fillId="0" borderId="20" xfId="0" applyNumberFormat="1" applyFont="1" applyBorder="1" applyAlignment="1">
      <alignment vertical="center"/>
    </xf>
    <xf numFmtId="14" fontId="3" fillId="0" borderId="25" xfId="0" applyNumberFormat="1" applyFont="1" applyBorder="1" applyAlignment="1">
      <alignment vertical="center"/>
    </xf>
    <xf numFmtId="0" fontId="47" fillId="0" borderId="0" xfId="0" applyFont="1" applyAlignment="1">
      <alignment horizontal="center"/>
    </xf>
    <xf numFmtId="0" fontId="47" fillId="0" borderId="21" xfId="0" applyFont="1" applyBorder="1" applyAlignment="1">
      <alignment horizontal="center" vertical="center"/>
    </xf>
    <xf numFmtId="0" fontId="47" fillId="0" borderId="29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7" fillId="2" borderId="64" xfId="0" applyFont="1" applyFill="1" applyBorder="1" applyAlignment="1">
      <alignment horizontal="center"/>
    </xf>
    <xf numFmtId="0" fontId="0" fillId="0" borderId="0" xfId="0" applyAlignment="1">
      <alignment horizontal="left" wrapText="1"/>
    </xf>
    <xf numFmtId="0" fontId="47" fillId="0" borderId="1" xfId="0" applyFont="1" applyBorder="1" applyAlignment="1">
      <alignment horizontal="left" vertical="center" wrapText="1"/>
    </xf>
    <xf numFmtId="0" fontId="47" fillId="0" borderId="22" xfId="0" applyFont="1" applyBorder="1" applyAlignment="1">
      <alignment horizontal="left" vertical="center" wrapText="1"/>
    </xf>
    <xf numFmtId="0" fontId="70" fillId="0" borderId="1" xfId="2" applyFont="1" applyBorder="1" applyAlignment="1">
      <alignment horizontal="left" vertical="center" wrapText="1"/>
    </xf>
    <xf numFmtId="0" fontId="47" fillId="0" borderId="30" xfId="0" applyFont="1" applyBorder="1" applyAlignment="1">
      <alignment horizontal="left" vertical="center" wrapText="1"/>
    </xf>
    <xf numFmtId="0" fontId="47" fillId="2" borderId="37" xfId="0" applyFont="1" applyFill="1" applyBorder="1" applyAlignment="1">
      <alignment horizontal="center"/>
    </xf>
    <xf numFmtId="0" fontId="47" fillId="0" borderId="22" xfId="0" applyFont="1" applyBorder="1" applyAlignment="1">
      <alignment horizontal="left" wrapText="1"/>
    </xf>
    <xf numFmtId="0" fontId="47" fillId="0" borderId="25" xfId="0" applyFont="1" applyBorder="1" applyAlignment="1">
      <alignment horizontal="left" vertical="center" wrapText="1"/>
    </xf>
    <xf numFmtId="0" fontId="47" fillId="0" borderId="65" xfId="0" applyFont="1" applyBorder="1" applyAlignment="1">
      <alignment horizontal="center" vertical="center"/>
    </xf>
    <xf numFmtId="0" fontId="47" fillId="0" borderId="6" xfId="0" applyFont="1" applyBorder="1" applyAlignment="1">
      <alignment horizontal="left" vertical="center" wrapText="1"/>
    </xf>
    <xf numFmtId="0" fontId="47" fillId="0" borderId="66" xfId="0" applyFont="1" applyBorder="1" applyAlignment="1">
      <alignment horizontal="left" vertical="center" wrapText="1"/>
    </xf>
    <xf numFmtId="0" fontId="0" fillId="0" borderId="31" xfId="0" applyBorder="1"/>
    <xf numFmtId="0" fontId="68" fillId="3" borderId="32" xfId="0" applyFont="1" applyFill="1" applyBorder="1" applyAlignment="1">
      <alignment horizontal="center"/>
    </xf>
    <xf numFmtId="0" fontId="68" fillId="3" borderId="33" xfId="0" applyFont="1" applyFill="1" applyBorder="1" applyAlignment="1">
      <alignment horizontal="center"/>
    </xf>
    <xf numFmtId="0" fontId="47" fillId="5" borderId="22" xfId="0" applyFont="1" applyFill="1" applyBorder="1" applyAlignment="1">
      <alignment horizontal="left" vertical="center" wrapText="1"/>
    </xf>
    <xf numFmtId="0" fontId="0" fillId="0" borderId="49" xfId="0" applyBorder="1" applyAlignment="1">
      <alignment horizontal="left"/>
    </xf>
    <xf numFmtId="0" fontId="0" fillId="0" borderId="50" xfId="0" applyBorder="1"/>
    <xf numFmtId="0" fontId="0" fillId="0" borderId="37" xfId="0" applyBorder="1"/>
    <xf numFmtId="0" fontId="47" fillId="2" borderId="1" xfId="0" applyFont="1" applyFill="1" applyBorder="1" applyAlignment="1">
      <alignment horizontal="left" vertical="center" wrapText="1"/>
    </xf>
    <xf numFmtId="0" fontId="47" fillId="2" borderId="22" xfId="0" applyFont="1" applyFill="1" applyBorder="1" applyAlignment="1">
      <alignment horizontal="left" vertical="center" wrapText="1"/>
    </xf>
    <xf numFmtId="0" fontId="47" fillId="0" borderId="0" xfId="0" applyFont="1"/>
    <xf numFmtId="0" fontId="2" fillId="0" borderId="0" xfId="0" applyFont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3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66" fontId="12" fillId="0" borderId="0" xfId="0" applyNumberFormat="1" applyFont="1" applyAlignment="1">
      <alignment horizontal="center"/>
    </xf>
    <xf numFmtId="14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12" fillId="0" borderId="0" xfId="0" applyNumberFormat="1" applyFont="1" applyAlignment="1">
      <alignment horizontal="center" vertical="center"/>
    </xf>
    <xf numFmtId="0" fontId="2" fillId="0" borderId="0" xfId="1" applyAlignment="1" applyProtection="1">
      <alignment horizontal="left"/>
      <protection locked="0"/>
    </xf>
    <xf numFmtId="49" fontId="3" fillId="0" borderId="13" xfId="0" applyNumberFormat="1" applyFont="1" applyBorder="1" applyAlignment="1">
      <alignment horizontal="left"/>
    </xf>
    <xf numFmtId="0" fontId="1" fillId="0" borderId="0" xfId="0" applyFont="1" applyAlignment="1">
      <alignment horizontal="center"/>
    </xf>
    <xf numFmtId="49" fontId="3" fillId="0" borderId="13" xfId="0" applyNumberFormat="1" applyFont="1" applyBorder="1" applyAlignment="1">
      <alignment horizontal="center"/>
    </xf>
    <xf numFmtId="49" fontId="1" fillId="0" borderId="13" xfId="0" applyNumberFormat="1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11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3" fillId="0" borderId="36" xfId="0" applyFont="1" applyBorder="1" applyAlignment="1">
      <alignment horizontal="right"/>
    </xf>
    <xf numFmtId="169" fontId="3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3" fillId="0" borderId="0" xfId="1" applyFont="1" applyProtection="1">
      <alignment horizontal="center"/>
      <protection locked="0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6" fillId="3" borderId="0" xfId="0" applyFont="1" applyFill="1" applyAlignment="1">
      <alignment horizontal="left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0" fillId="0" borderId="0" xfId="0" applyAlignment="1">
      <alignment horizontal="center" vertical="top"/>
    </xf>
    <xf numFmtId="0" fontId="48" fillId="0" borderId="0" xfId="0" applyFont="1" applyAlignment="1">
      <alignment horizontal="center" vertical="top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0" fontId="34" fillId="3" borderId="0" xfId="0" applyFont="1" applyFill="1" applyAlignment="1">
      <alignment horizontal="left"/>
    </xf>
    <xf numFmtId="167" fontId="3" fillId="3" borderId="0" xfId="0" applyNumberFormat="1" applyFont="1" applyFill="1" applyAlignment="1">
      <alignment horizontal="center"/>
    </xf>
    <xf numFmtId="0" fontId="6" fillId="0" borderId="0" xfId="0" applyFont="1" applyAlignment="1">
      <alignment horizontal="center"/>
    </xf>
    <xf numFmtId="1" fontId="1" fillId="0" borderId="0" xfId="0" applyNumberFormat="1" applyFont="1" applyAlignment="1">
      <alignment horizontal="left"/>
    </xf>
    <xf numFmtId="14" fontId="1" fillId="0" borderId="1" xfId="0" applyNumberFormat="1" applyFont="1" applyBorder="1" applyAlignment="1">
      <alignment horizontal="center"/>
    </xf>
    <xf numFmtId="165" fontId="3" fillId="2" borderId="1" xfId="0" applyNumberFormat="1" applyFont="1" applyFill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5" fontId="3" fillId="2" borderId="2" xfId="0" applyNumberFormat="1" applyFont="1" applyFill="1" applyBorder="1" applyAlignment="1">
      <alignment horizontal="center"/>
    </xf>
    <xf numFmtId="165" fontId="3" fillId="2" borderId="3" xfId="0" applyNumberFormat="1" applyFont="1" applyFill="1" applyBorder="1" applyAlignment="1">
      <alignment horizontal="center"/>
    </xf>
    <xf numFmtId="165" fontId="3" fillId="2" borderId="4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8" xfId="0" applyFont="1" applyBorder="1" applyAlignment="1">
      <alignment horizontal="left"/>
    </xf>
    <xf numFmtId="166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68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/>
    </xf>
    <xf numFmtId="0" fontId="2" fillId="3" borderId="0" xfId="0" applyFont="1" applyFill="1" applyAlignment="1">
      <alignment horizontal="left"/>
    </xf>
    <xf numFmtId="167" fontId="6" fillId="0" borderId="0" xfId="0" applyNumberFormat="1" applyFont="1" applyAlignment="1">
      <alignment horizontal="center"/>
    </xf>
    <xf numFmtId="167" fontId="2" fillId="0" borderId="0" xfId="0" applyNumberFormat="1" applyFont="1" applyAlignment="1">
      <alignment horizontal="left"/>
    </xf>
    <xf numFmtId="167" fontId="1" fillId="0" borderId="1" xfId="0" applyNumberFormat="1" applyFont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165" fontId="1" fillId="0" borderId="9" xfId="0" applyNumberFormat="1" applyFont="1" applyBorder="1" applyAlignment="1">
      <alignment horizontal="center" vertical="center"/>
    </xf>
    <xf numFmtId="165" fontId="1" fillId="0" borderId="10" xfId="0" applyNumberFormat="1" applyFont="1" applyBorder="1" applyAlignment="1">
      <alignment horizontal="center" vertical="center"/>
    </xf>
    <xf numFmtId="165" fontId="1" fillId="0" borderId="1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/>
    </xf>
    <xf numFmtId="165" fontId="3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1" applyProtection="1">
      <alignment horizontal="center"/>
      <protection locked="0"/>
    </xf>
    <xf numFmtId="0" fontId="3" fillId="0" borderId="0" xfId="0" applyFont="1" applyAlignment="1">
      <alignment horizontal="right"/>
    </xf>
    <xf numFmtId="0" fontId="12" fillId="2" borderId="1" xfId="0" applyFont="1" applyFill="1" applyBorder="1" applyAlignment="1">
      <alignment horizontal="center" vertical="center" wrapText="1"/>
    </xf>
    <xf numFmtId="165" fontId="1" fillId="0" borderId="26" xfId="0" applyNumberFormat="1" applyFont="1" applyBorder="1" applyAlignment="1">
      <alignment horizontal="center" vertical="center"/>
    </xf>
    <xf numFmtId="165" fontId="1" fillId="0" borderId="27" xfId="0" applyNumberFormat="1" applyFont="1" applyBorder="1" applyAlignment="1">
      <alignment horizontal="center" vertical="center"/>
    </xf>
    <xf numFmtId="166" fontId="1" fillId="0" borderId="6" xfId="0" applyNumberFormat="1" applyFont="1" applyBorder="1" applyAlignment="1">
      <alignment horizont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165" fontId="1" fillId="0" borderId="2" xfId="0" applyNumberFormat="1" applyFont="1" applyBorder="1" applyAlignment="1">
      <alignment horizontal="center"/>
    </xf>
    <xf numFmtId="165" fontId="1" fillId="0" borderId="3" xfId="0" applyNumberFormat="1" applyFont="1" applyBorder="1" applyAlignment="1">
      <alignment horizontal="center"/>
    </xf>
    <xf numFmtId="165" fontId="1" fillId="0" borderId="4" xfId="0" applyNumberFormat="1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5" fontId="2" fillId="0" borderId="6" xfId="0" applyNumberFormat="1" applyFont="1" applyBorder="1" applyAlignment="1">
      <alignment horizontal="center" vertical="center"/>
    </xf>
    <xf numFmtId="167" fontId="9" fillId="0" borderId="13" xfId="0" applyNumberFormat="1" applyFont="1" applyBorder="1" applyAlignment="1">
      <alignment horizontal="center" vertical="center"/>
    </xf>
    <xf numFmtId="167" fontId="9" fillId="0" borderId="55" xfId="0" applyNumberFormat="1" applyFont="1" applyBorder="1" applyAlignment="1">
      <alignment horizontal="center" vertical="center"/>
    </xf>
    <xf numFmtId="165" fontId="3" fillId="0" borderId="47" xfId="0" applyNumberFormat="1" applyFont="1" applyBorder="1" applyAlignment="1">
      <alignment horizontal="center" vertical="center"/>
    </xf>
    <xf numFmtId="165" fontId="3" fillId="0" borderId="48" xfId="0" applyNumberFormat="1" applyFont="1" applyBorder="1" applyAlignment="1">
      <alignment horizontal="center" vertical="center"/>
    </xf>
    <xf numFmtId="0" fontId="3" fillId="2" borderId="43" xfId="0" applyFont="1" applyFill="1" applyBorder="1" applyAlignment="1">
      <alignment horizontal="center" vertical="center"/>
    </xf>
    <xf numFmtId="0" fontId="34" fillId="0" borderId="4" xfId="0" applyFont="1" applyBorder="1" applyAlignment="1">
      <alignment horizontal="right" vertical="center"/>
    </xf>
    <xf numFmtId="0" fontId="34" fillId="0" borderId="1" xfId="0" applyFont="1" applyBorder="1" applyAlignment="1">
      <alignment horizontal="right" vertical="center"/>
    </xf>
    <xf numFmtId="14" fontId="34" fillId="0" borderId="26" xfId="0" applyNumberFormat="1" applyFont="1" applyBorder="1" applyAlignment="1">
      <alignment horizontal="center"/>
    </xf>
    <xf numFmtId="14" fontId="34" fillId="0" borderId="27" xfId="0" applyNumberFormat="1" applyFont="1" applyBorder="1" applyAlignment="1">
      <alignment horizontal="center"/>
    </xf>
    <xf numFmtId="165" fontId="13" fillId="0" borderId="4" xfId="0" applyNumberFormat="1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0" borderId="32" xfId="0" applyNumberFormat="1" applyFont="1" applyBorder="1" applyAlignment="1">
      <alignment horizontal="center" vertical="center"/>
    </xf>
    <xf numFmtId="165" fontId="3" fillId="0" borderId="33" xfId="0" applyNumberFormat="1" applyFont="1" applyBorder="1" applyAlignment="1">
      <alignment horizontal="center" vertical="center"/>
    </xf>
    <xf numFmtId="165" fontId="9" fillId="2" borderId="45" xfId="0" applyNumberFormat="1" applyFont="1" applyFill="1" applyBorder="1" applyAlignment="1">
      <alignment horizontal="center"/>
    </xf>
    <xf numFmtId="165" fontId="9" fillId="2" borderId="34" xfId="0" applyNumberFormat="1" applyFont="1" applyFill="1" applyBorder="1" applyAlignment="1">
      <alignment horizontal="center"/>
    </xf>
    <xf numFmtId="0" fontId="3" fillId="0" borderId="57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165" fontId="3" fillId="0" borderId="59" xfId="0" applyNumberFormat="1" applyFont="1" applyBorder="1" applyAlignment="1">
      <alignment horizontal="center" vertical="center"/>
    </xf>
    <xf numFmtId="0" fontId="3" fillId="0" borderId="60" xfId="0" applyFont="1" applyBorder="1" applyAlignment="1">
      <alignment horizontal="center" vertical="center"/>
    </xf>
    <xf numFmtId="0" fontId="3" fillId="2" borderId="45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55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right" vertical="center"/>
    </xf>
    <xf numFmtId="0" fontId="2" fillId="0" borderId="11" xfId="0" applyFont="1" applyBorder="1" applyAlignment="1">
      <alignment horizontal="right" vertical="center"/>
    </xf>
    <xf numFmtId="0" fontId="2" fillId="0" borderId="12" xfId="0" applyFont="1" applyBorder="1" applyAlignment="1">
      <alignment horizontal="right" vertical="center"/>
    </xf>
    <xf numFmtId="0" fontId="34" fillId="0" borderId="2" xfId="0" applyFont="1" applyBorder="1" applyAlignment="1">
      <alignment horizontal="right" vertical="center"/>
    </xf>
    <xf numFmtId="0" fontId="34" fillId="0" borderId="3" xfId="0" applyFont="1" applyBorder="1" applyAlignment="1">
      <alignment horizontal="right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67" fontId="2" fillId="0" borderId="7" xfId="0" applyNumberFormat="1" applyFont="1" applyBorder="1" applyAlignment="1">
      <alignment horizontal="center" vertical="center"/>
    </xf>
    <xf numFmtId="167" fontId="2" fillId="0" borderId="9" xfId="0" applyNumberFormat="1" applyFont="1" applyBorder="1" applyAlignment="1">
      <alignment horizontal="center" vertical="center"/>
    </xf>
    <xf numFmtId="167" fontId="2" fillId="0" borderId="47" xfId="0" applyNumberFormat="1" applyFont="1" applyBorder="1" applyAlignment="1">
      <alignment horizontal="center" vertical="center"/>
    </xf>
    <xf numFmtId="167" fontId="2" fillId="0" borderId="55" xfId="0" applyNumberFormat="1" applyFont="1" applyBorder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165" fontId="2" fillId="0" borderId="9" xfId="0" applyNumberFormat="1" applyFont="1" applyBorder="1" applyAlignment="1">
      <alignment horizontal="center" vertical="center"/>
    </xf>
    <xf numFmtId="165" fontId="2" fillId="0" borderId="10" xfId="0" applyNumberFormat="1" applyFont="1" applyBorder="1" applyAlignment="1">
      <alignment horizontal="center" vertical="center"/>
    </xf>
    <xf numFmtId="165" fontId="2" fillId="0" borderId="1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" fontId="13" fillId="0" borderId="14" xfId="0" applyNumberFormat="1" applyFont="1" applyBorder="1" applyAlignment="1">
      <alignment horizontal="center"/>
    </xf>
    <xf numFmtId="1" fontId="13" fillId="0" borderId="16" xfId="0" applyNumberFormat="1" applyFont="1" applyBorder="1" applyAlignment="1">
      <alignment horizontal="center"/>
    </xf>
    <xf numFmtId="0" fontId="61" fillId="0" borderId="2" xfId="0" applyFont="1" applyBorder="1" applyAlignment="1">
      <alignment horizontal="left" vertical="center"/>
    </xf>
    <xf numFmtId="0" fontId="61" fillId="0" borderId="3" xfId="0" applyFont="1" applyBorder="1" applyAlignment="1">
      <alignment horizontal="left" vertical="center"/>
    </xf>
    <xf numFmtId="0" fontId="61" fillId="0" borderId="0" xfId="0" applyFont="1" applyAlignment="1">
      <alignment horizontal="left" vertical="center"/>
    </xf>
    <xf numFmtId="0" fontId="61" fillId="0" borderId="27" xfId="0" applyFont="1" applyBorder="1" applyAlignment="1">
      <alignment horizontal="left" vertical="center"/>
    </xf>
    <xf numFmtId="0" fontId="61" fillId="0" borderId="2" xfId="0" applyFont="1" applyBorder="1" applyAlignment="1">
      <alignment horizontal="center" vertical="center"/>
    </xf>
    <xf numFmtId="0" fontId="61" fillId="0" borderId="3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167" fontId="2" fillId="0" borderId="10" xfId="0" applyNumberFormat="1" applyFont="1" applyBorder="1" applyAlignment="1">
      <alignment horizontal="center" vertical="center"/>
    </xf>
    <xf numFmtId="167" fontId="2" fillId="0" borderId="12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top"/>
    </xf>
    <xf numFmtId="0" fontId="1" fillId="0" borderId="11" xfId="0" applyFont="1" applyBorder="1" applyAlignment="1">
      <alignment horizontal="center"/>
    </xf>
    <xf numFmtId="0" fontId="61" fillId="0" borderId="11" xfId="0" applyFont="1" applyBorder="1" applyAlignment="1">
      <alignment horizontal="left" vertical="center"/>
    </xf>
    <xf numFmtId="0" fontId="61" fillId="0" borderId="12" xfId="0" applyFont="1" applyBorder="1" applyAlignment="1">
      <alignment horizontal="left" vertical="center"/>
    </xf>
    <xf numFmtId="0" fontId="61" fillId="0" borderId="1" xfId="0" applyFont="1" applyBorder="1" applyAlignment="1">
      <alignment horizontal="left" vertical="center"/>
    </xf>
    <xf numFmtId="0" fontId="61" fillId="0" borderId="1" xfId="0" applyFont="1" applyBorder="1" applyAlignment="1">
      <alignment horizontal="center" vertical="center"/>
    </xf>
    <xf numFmtId="1" fontId="13" fillId="0" borderId="31" xfId="0" applyNumberFormat="1" applyFont="1" applyBorder="1" applyAlignment="1">
      <alignment horizontal="center" vertical="center"/>
    </xf>
    <xf numFmtId="1" fontId="13" fillId="0" borderId="33" xfId="0" applyNumberFormat="1" applyFont="1" applyBorder="1" applyAlignment="1">
      <alignment horizontal="center" vertical="center"/>
    </xf>
    <xf numFmtId="165" fontId="61" fillId="0" borderId="3" xfId="0" applyNumberFormat="1" applyFont="1" applyBorder="1" applyAlignment="1">
      <alignment horizontal="center" vertical="center"/>
    </xf>
    <xf numFmtId="165" fontId="61" fillId="0" borderId="4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right" vertical="center"/>
    </xf>
    <xf numFmtId="0" fontId="9" fillId="0" borderId="3" xfId="0" applyFont="1" applyBorder="1" applyAlignment="1">
      <alignment horizontal="right" vertical="center"/>
    </xf>
    <xf numFmtId="0" fontId="9" fillId="0" borderId="11" xfId="0" applyFont="1" applyBorder="1" applyAlignment="1">
      <alignment horizontal="right" vertical="center"/>
    </xf>
    <xf numFmtId="0" fontId="9" fillId="0" borderId="12" xfId="0" applyFont="1" applyBorder="1" applyAlignment="1">
      <alignment horizontal="right" vertical="center"/>
    </xf>
    <xf numFmtId="0" fontId="3" fillId="0" borderId="51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56" xfId="0" applyFont="1" applyBorder="1" applyAlignment="1">
      <alignment horizontal="left" vertical="center"/>
    </xf>
    <xf numFmtId="0" fontId="3" fillId="0" borderId="57" xfId="0" applyFont="1" applyBorder="1" applyAlignment="1">
      <alignment horizontal="left" vertical="center"/>
    </xf>
    <xf numFmtId="0" fontId="3" fillId="0" borderId="58" xfId="0" applyFont="1" applyBorder="1" applyAlignment="1">
      <alignment horizontal="left" vertical="center"/>
    </xf>
    <xf numFmtId="0" fontId="3" fillId="0" borderId="29" xfId="0" applyFont="1" applyBorder="1" applyAlignment="1">
      <alignment horizontal="left" vertical="center"/>
    </xf>
    <xf numFmtId="0" fontId="3" fillId="0" borderId="30" xfId="0" applyFont="1" applyBorder="1" applyAlignment="1">
      <alignment horizontal="left" vertical="center"/>
    </xf>
    <xf numFmtId="0" fontId="34" fillId="0" borderId="11" xfId="0" applyFont="1" applyBorder="1" applyAlignment="1">
      <alignment horizontal="right" vertical="center"/>
    </xf>
    <xf numFmtId="165" fontId="6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left"/>
    </xf>
    <xf numFmtId="20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7" fontId="3" fillId="3" borderId="0" xfId="0" applyNumberFormat="1" applyFont="1" applyFill="1" applyAlignment="1">
      <alignment horizontal="center" vertical="center"/>
    </xf>
    <xf numFmtId="14" fontId="3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left" wrapText="1"/>
    </xf>
    <xf numFmtId="167" fontId="3" fillId="0" borderId="2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7" fontId="3" fillId="0" borderId="3" xfId="0" applyNumberFormat="1" applyFont="1" applyBorder="1" applyAlignment="1">
      <alignment horizontal="center" vertical="center"/>
    </xf>
    <xf numFmtId="167" fontId="3" fillId="0" borderId="4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165" fontId="2" fillId="0" borderId="17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5" fontId="54" fillId="0" borderId="0" xfId="0" applyNumberFormat="1" applyFont="1" applyAlignment="1">
      <alignment horizontal="center"/>
    </xf>
    <xf numFmtId="0" fontId="54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0" fillId="0" borderId="0" xfId="0" applyFont="1" applyAlignment="1">
      <alignment horizontal="left" vertical="center"/>
    </xf>
    <xf numFmtId="1" fontId="55" fillId="0" borderId="0" xfId="0" applyNumberFormat="1" applyFont="1" applyAlignment="1">
      <alignment horizontal="left" vertical="center"/>
    </xf>
    <xf numFmtId="0" fontId="55" fillId="0" borderId="0" xfId="0" applyFont="1" applyAlignment="1">
      <alignment horizontal="left" vertical="center"/>
    </xf>
    <xf numFmtId="14" fontId="55" fillId="0" borderId="0" xfId="0" applyNumberFormat="1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167" fontId="50" fillId="0" borderId="0" xfId="0" applyNumberFormat="1" applyFont="1" applyAlignment="1">
      <alignment horizontal="center" vertical="center"/>
    </xf>
    <xf numFmtId="14" fontId="55" fillId="0" borderId="0" xfId="0" applyNumberFormat="1" applyFont="1" applyAlignment="1">
      <alignment horizontal="left" vertical="center"/>
    </xf>
    <xf numFmtId="1" fontId="50" fillId="0" borderId="0" xfId="0" applyNumberFormat="1" applyFont="1" applyAlignment="1">
      <alignment horizontal="left" vertical="center"/>
    </xf>
    <xf numFmtId="2" fontId="50" fillId="0" borderId="0" xfId="0" applyNumberFormat="1" applyFont="1" applyAlignment="1">
      <alignment horizontal="left" vertical="center"/>
    </xf>
    <xf numFmtId="14" fontId="50" fillId="0" borderId="0" xfId="0" applyNumberFormat="1" applyFont="1" applyAlignment="1">
      <alignment horizontal="center" vertical="center"/>
    </xf>
    <xf numFmtId="0" fontId="51" fillId="0" borderId="0" xfId="0" applyFont="1" applyAlignment="1">
      <alignment horizontal="left" vertical="center"/>
    </xf>
    <xf numFmtId="14" fontId="51" fillId="2" borderId="0" xfId="0" applyNumberFormat="1" applyFont="1" applyFill="1" applyAlignment="1">
      <alignment horizontal="center" vertical="center"/>
    </xf>
    <xf numFmtId="0" fontId="51" fillId="2" borderId="0" xfId="0" applyFont="1" applyFill="1" applyAlignment="1">
      <alignment horizontal="center" vertical="center"/>
    </xf>
    <xf numFmtId="0" fontId="50" fillId="0" borderId="0" xfId="0" applyFont="1" applyAlignment="1">
      <alignment vertical="center"/>
    </xf>
    <xf numFmtId="49" fontId="50" fillId="0" borderId="0" xfId="0" applyNumberFormat="1" applyFont="1" applyAlignment="1">
      <alignment horizontal="center" vertical="center"/>
    </xf>
    <xf numFmtId="0" fontId="36" fillId="0" borderId="11" xfId="0" applyFont="1" applyBorder="1" applyAlignment="1">
      <alignment horizontal="center" vertical="center"/>
    </xf>
    <xf numFmtId="0" fontId="50" fillId="0" borderId="11" xfId="0" applyFont="1" applyBorder="1" applyAlignment="1">
      <alignment horizontal="center" vertical="center"/>
    </xf>
    <xf numFmtId="0" fontId="53" fillId="0" borderId="8" xfId="0" applyFont="1" applyBorder="1" applyAlignment="1">
      <alignment horizontal="center" vertical="top"/>
    </xf>
    <xf numFmtId="1" fontId="3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165" fontId="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5" fontId="14" fillId="0" borderId="2" xfId="0" applyNumberFormat="1" applyFont="1" applyBorder="1" applyAlignment="1">
      <alignment horizontal="center"/>
    </xf>
    <xf numFmtId="165" fontId="14" fillId="0" borderId="4" xfId="0" applyNumberFormat="1" applyFont="1" applyBorder="1" applyAlignment="1">
      <alignment horizontal="center"/>
    </xf>
    <xf numFmtId="14" fontId="1" fillId="0" borderId="0" xfId="0" applyNumberFormat="1" applyFont="1" applyAlignment="1">
      <alignment horizontal="left"/>
    </xf>
    <xf numFmtId="165" fontId="9" fillId="0" borderId="2" xfId="0" applyNumberFormat="1" applyFont="1" applyBorder="1" applyAlignment="1">
      <alignment horizontal="center"/>
    </xf>
    <xf numFmtId="165" fontId="9" fillId="0" borderId="4" xfId="0" applyNumberFormat="1" applyFont="1" applyBorder="1" applyAlignment="1">
      <alignment horizontal="center"/>
    </xf>
    <xf numFmtId="165" fontId="16" fillId="0" borderId="2" xfId="0" applyNumberFormat="1" applyFont="1" applyBorder="1" applyAlignment="1">
      <alignment horizontal="center"/>
    </xf>
    <xf numFmtId="165" fontId="16" fillId="0" borderId="4" xfId="0" applyNumberFormat="1" applyFont="1" applyBorder="1" applyAlignment="1">
      <alignment horizontal="center"/>
    </xf>
    <xf numFmtId="167" fontId="2" fillId="0" borderId="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17" fillId="0" borderId="3" xfId="0" applyFont="1" applyBorder="1" applyAlignment="1">
      <alignment horizontal="center" vertical="center"/>
    </xf>
    <xf numFmtId="0" fontId="24" fillId="3" borderId="0" xfId="0" applyFont="1" applyFill="1" applyAlignment="1">
      <alignment horizontal="left"/>
    </xf>
    <xf numFmtId="0" fontId="24" fillId="3" borderId="35" xfId="0" applyFont="1" applyFill="1" applyBorder="1" applyAlignment="1">
      <alignment horizontal="left"/>
    </xf>
    <xf numFmtId="170" fontId="29" fillId="3" borderId="11" xfId="0" applyNumberFormat="1" applyFont="1" applyFill="1" applyBorder="1" applyAlignment="1">
      <alignment horizontal="center"/>
    </xf>
    <xf numFmtId="49" fontId="29" fillId="3" borderId="11" xfId="0" applyNumberFormat="1" applyFont="1" applyFill="1" applyBorder="1" applyAlignment="1">
      <alignment horizontal="center"/>
    </xf>
    <xf numFmtId="0" fontId="30" fillId="3" borderId="8" xfId="0" applyFont="1" applyFill="1" applyBorder="1" applyAlignment="1">
      <alignment horizontal="center" vertical="top"/>
    </xf>
    <xf numFmtId="0" fontId="26" fillId="3" borderId="0" xfId="0" applyFont="1" applyFill="1" applyAlignment="1">
      <alignment horizontal="center" vertical="top"/>
    </xf>
    <xf numFmtId="0" fontId="25" fillId="3" borderId="11" xfId="0" applyFont="1" applyFill="1" applyBorder="1" applyAlignment="1">
      <alignment horizontal="center"/>
    </xf>
    <xf numFmtId="49" fontId="25" fillId="3" borderId="31" xfId="0" applyNumberFormat="1" applyFont="1" applyFill="1" applyBorder="1" applyAlignment="1">
      <alignment horizontal="center" vertical="center"/>
    </xf>
    <xf numFmtId="49" fontId="25" fillId="3" borderId="32" xfId="0" applyNumberFormat="1" applyFont="1" applyFill="1" applyBorder="1" applyAlignment="1">
      <alignment horizontal="center" vertical="center"/>
    </xf>
    <xf numFmtId="0" fontId="25" fillId="3" borderId="32" xfId="0" applyFont="1" applyFill="1" applyBorder="1" applyAlignment="1">
      <alignment horizontal="center" vertical="center"/>
    </xf>
    <xf numFmtId="2" fontId="25" fillId="3" borderId="32" xfId="0" applyNumberFormat="1" applyFont="1" applyFill="1" applyBorder="1" applyAlignment="1">
      <alignment horizontal="center" vertical="center"/>
    </xf>
    <xf numFmtId="0" fontId="29" fillId="3" borderId="0" xfId="0" applyFont="1" applyFill="1" applyAlignment="1">
      <alignment horizontal="center" vertical="center" wrapText="1"/>
    </xf>
    <xf numFmtId="0" fontId="29" fillId="3" borderId="11" xfId="0" applyFont="1" applyFill="1" applyBorder="1" applyAlignment="1">
      <alignment horizontal="center" vertical="center" wrapText="1"/>
    </xf>
    <xf numFmtId="0" fontId="24" fillId="3" borderId="0" xfId="0" applyFont="1" applyFill="1" applyAlignment="1">
      <alignment horizontal="center" vertical="top" wrapText="1"/>
    </xf>
    <xf numFmtId="0" fontId="25" fillId="3" borderId="0" xfId="0" applyFont="1" applyFill="1" applyAlignment="1">
      <alignment horizontal="center"/>
    </xf>
    <xf numFmtId="0" fontId="25" fillId="3" borderId="28" xfId="0" applyFont="1" applyFill="1" applyBorder="1" applyAlignment="1">
      <alignment horizontal="center" vertical="center"/>
    </xf>
    <xf numFmtId="0" fontId="25" fillId="3" borderId="5" xfId="0" applyFont="1" applyFill="1" applyBorder="1" applyAlignment="1">
      <alignment horizontal="center"/>
    </xf>
    <xf numFmtId="49" fontId="25" fillId="3" borderId="18" xfId="0" applyNumberFormat="1" applyFont="1" applyFill="1" applyBorder="1" applyAlignment="1">
      <alignment horizontal="center"/>
    </xf>
    <xf numFmtId="49" fontId="25" fillId="3" borderId="19" xfId="0" applyNumberFormat="1" applyFont="1" applyFill="1" applyBorder="1" applyAlignment="1">
      <alignment horizontal="center"/>
    </xf>
    <xf numFmtId="49" fontId="25" fillId="3" borderId="20" xfId="0" applyNumberFormat="1" applyFont="1" applyFill="1" applyBorder="1" applyAlignment="1">
      <alignment horizontal="center"/>
    </xf>
    <xf numFmtId="49" fontId="25" fillId="3" borderId="21" xfId="0" applyNumberFormat="1" applyFont="1" applyFill="1" applyBorder="1" applyAlignment="1">
      <alignment horizontal="center"/>
    </xf>
    <xf numFmtId="49" fontId="25" fillId="3" borderId="1" xfId="0" applyNumberFormat="1" applyFont="1" applyFill="1" applyBorder="1" applyAlignment="1">
      <alignment horizontal="center"/>
    </xf>
    <xf numFmtId="49" fontId="25" fillId="3" borderId="22" xfId="0" applyNumberFormat="1" applyFont="1" applyFill="1" applyBorder="1" applyAlignment="1">
      <alignment horizontal="center"/>
    </xf>
    <xf numFmtId="0" fontId="25" fillId="3" borderId="3" xfId="0" applyFont="1" applyFill="1" applyBorder="1" applyAlignment="1">
      <alignment horizontal="center"/>
    </xf>
    <xf numFmtId="0" fontId="26" fillId="3" borderId="8" xfId="0" applyFont="1" applyFill="1" applyBorder="1" applyAlignment="1">
      <alignment horizontal="center" vertical="top"/>
    </xf>
    <xf numFmtId="0" fontId="24" fillId="3" borderId="0" xfId="0" applyFont="1" applyFill="1" applyAlignment="1">
      <alignment horizontal="center"/>
    </xf>
    <xf numFmtId="0" fontId="25" fillId="3" borderId="15" xfId="0" applyFont="1" applyFill="1" applyBorder="1" applyAlignment="1">
      <alignment horizontal="center"/>
    </xf>
    <xf numFmtId="0" fontId="21" fillId="3" borderId="0" xfId="0" applyFont="1" applyFill="1" applyAlignment="1">
      <alignment horizontal="center"/>
    </xf>
    <xf numFmtId="0" fontId="27" fillId="3" borderId="17" xfId="0" applyFont="1" applyFill="1" applyBorder="1" applyAlignment="1">
      <alignment horizontal="center"/>
    </xf>
    <xf numFmtId="0" fontId="27" fillId="3" borderId="0" xfId="0" applyFont="1" applyFill="1" applyAlignment="1">
      <alignment horizontal="center"/>
    </xf>
    <xf numFmtId="0" fontId="25" fillId="3" borderId="14" xfId="0" applyFont="1" applyFill="1" applyBorder="1" applyAlignment="1">
      <alignment horizontal="center"/>
    </xf>
    <xf numFmtId="166" fontId="25" fillId="3" borderId="15" xfId="0" applyNumberFormat="1" applyFont="1" applyFill="1" applyBorder="1" applyAlignment="1">
      <alignment horizontal="center"/>
    </xf>
    <xf numFmtId="49" fontId="26" fillId="3" borderId="21" xfId="0" applyNumberFormat="1" applyFont="1" applyFill="1" applyBorder="1" applyAlignment="1">
      <alignment horizontal="center"/>
    </xf>
    <xf numFmtId="49" fontId="26" fillId="3" borderId="1" xfId="0" applyNumberFormat="1" applyFont="1" applyFill="1" applyBorder="1" applyAlignment="1">
      <alignment horizontal="center"/>
    </xf>
    <xf numFmtId="49" fontId="26" fillId="3" borderId="22" xfId="0" applyNumberFormat="1" applyFont="1" applyFill="1" applyBorder="1" applyAlignment="1">
      <alignment horizontal="center"/>
    </xf>
    <xf numFmtId="49" fontId="26" fillId="3" borderId="29" xfId="0" applyNumberFormat="1" applyFont="1" applyFill="1" applyBorder="1" applyAlignment="1">
      <alignment horizontal="center"/>
    </xf>
    <xf numFmtId="49" fontId="26" fillId="3" borderId="30" xfId="0" applyNumberFormat="1" applyFont="1" applyFill="1" applyBorder="1" applyAlignment="1">
      <alignment horizontal="center"/>
    </xf>
    <xf numFmtId="49" fontId="26" fillId="3" borderId="25" xfId="0" applyNumberFormat="1" applyFont="1" applyFill="1" applyBorder="1" applyAlignment="1">
      <alignment horizontal="center"/>
    </xf>
    <xf numFmtId="0" fontId="25" fillId="3" borderId="11" xfId="0" applyFont="1" applyFill="1" applyBorder="1" applyAlignment="1">
      <alignment horizontal="left"/>
    </xf>
    <xf numFmtId="0" fontId="25" fillId="3" borderId="5" xfId="0" applyFont="1" applyFill="1" applyBorder="1" applyAlignment="1">
      <alignment horizontal="center" vertical="center"/>
    </xf>
    <xf numFmtId="0" fontId="25" fillId="3" borderId="28" xfId="0" applyFont="1" applyFill="1" applyBorder="1" applyAlignment="1">
      <alignment horizontal="center"/>
    </xf>
    <xf numFmtId="14" fontId="25" fillId="3" borderId="34" xfId="0" applyNumberFormat="1" applyFont="1" applyFill="1" applyBorder="1" applyAlignment="1">
      <alignment horizontal="center"/>
    </xf>
    <xf numFmtId="14" fontId="25" fillId="3" borderId="32" xfId="0" applyNumberFormat="1" applyFont="1" applyFill="1" applyBorder="1" applyAlignment="1">
      <alignment horizontal="center"/>
    </xf>
    <xf numFmtId="14" fontId="25" fillId="3" borderId="33" xfId="0" applyNumberFormat="1" applyFont="1" applyFill="1" applyBorder="1" applyAlignment="1">
      <alignment horizontal="center"/>
    </xf>
    <xf numFmtId="0" fontId="25" fillId="3" borderId="8" xfId="0" applyFont="1" applyFill="1" applyBorder="1" applyAlignment="1">
      <alignment horizontal="center"/>
    </xf>
    <xf numFmtId="2" fontId="25" fillId="3" borderId="6" xfId="0" applyNumberFormat="1" applyFont="1" applyFill="1" applyBorder="1" applyAlignment="1">
      <alignment horizontal="center" vertical="center"/>
    </xf>
    <xf numFmtId="0" fontId="25" fillId="3" borderId="6" xfId="0" applyFont="1" applyFill="1" applyBorder="1" applyAlignment="1">
      <alignment horizontal="center" vertical="center"/>
    </xf>
    <xf numFmtId="0" fontId="25" fillId="3" borderId="16" xfId="0" applyFont="1" applyFill="1" applyBorder="1" applyAlignment="1">
      <alignment horizontal="center"/>
    </xf>
    <xf numFmtId="0" fontId="25" fillId="3" borderId="33" xfId="0" applyFont="1" applyFill="1" applyBorder="1" applyAlignment="1">
      <alignment horizontal="center" vertical="center"/>
    </xf>
    <xf numFmtId="0" fontId="25" fillId="3" borderId="49" xfId="0" applyFont="1" applyFill="1" applyBorder="1" applyAlignment="1">
      <alignment horizontal="center" vertical="center" textRotation="90"/>
    </xf>
    <xf numFmtId="0" fontId="25" fillId="3" borderId="50" xfId="0" applyFont="1" applyFill="1" applyBorder="1" applyAlignment="1">
      <alignment horizontal="center" vertical="center" textRotation="90"/>
    </xf>
    <xf numFmtId="0" fontId="25" fillId="3" borderId="37" xfId="0" applyFont="1" applyFill="1" applyBorder="1" applyAlignment="1">
      <alignment horizontal="center" vertical="center" textRotation="90"/>
    </xf>
    <xf numFmtId="0" fontId="24" fillId="3" borderId="0" xfId="0" applyFont="1" applyFill="1" applyAlignment="1">
      <alignment horizontal="center" vertical="top"/>
    </xf>
    <xf numFmtId="0" fontId="25" fillId="3" borderId="1" xfId="0" applyFont="1" applyFill="1" applyBorder="1" applyAlignment="1">
      <alignment horizontal="center" vertical="center"/>
    </xf>
    <xf numFmtId="0" fontId="25" fillId="3" borderId="0" xfId="0" applyFont="1" applyFill="1" applyAlignment="1">
      <alignment horizontal="left"/>
    </xf>
    <xf numFmtId="0" fontId="25" fillId="3" borderId="0" xfId="0" applyFont="1" applyFill="1" applyAlignment="1">
      <alignment horizontal="center" wrapText="1"/>
    </xf>
    <xf numFmtId="0" fontId="25" fillId="3" borderId="27" xfId="0" applyFont="1" applyFill="1" applyBorder="1" applyAlignment="1">
      <alignment horizontal="center" wrapText="1"/>
    </xf>
    <xf numFmtId="0" fontId="25" fillId="3" borderId="13" xfId="0" applyFont="1" applyFill="1" applyBorder="1" applyAlignment="1">
      <alignment horizontal="center" wrapText="1"/>
    </xf>
    <xf numFmtId="0" fontId="25" fillId="3" borderId="55" xfId="0" applyFont="1" applyFill="1" applyBorder="1" applyAlignment="1">
      <alignment horizontal="center" wrapText="1"/>
    </xf>
    <xf numFmtId="0" fontId="21" fillId="3" borderId="0" xfId="0" applyFont="1" applyFill="1" applyAlignment="1">
      <alignment horizontal="center" vertical="center"/>
    </xf>
    <xf numFmtId="0" fontId="25" fillId="3" borderId="15" xfId="0" applyFont="1" applyFill="1" applyBorder="1" applyAlignment="1">
      <alignment horizontal="center" vertical="center"/>
    </xf>
    <xf numFmtId="0" fontId="25" fillId="3" borderId="14" xfId="0" applyFont="1" applyFill="1" applyBorder="1" applyAlignment="1">
      <alignment horizontal="center" vertical="center"/>
    </xf>
    <xf numFmtId="0" fontId="24" fillId="3" borderId="0" xfId="0" applyFont="1" applyFill="1" applyAlignment="1">
      <alignment horizontal="right"/>
    </xf>
    <xf numFmtId="0" fontId="24" fillId="3" borderId="11" xfId="0" applyFont="1" applyFill="1" applyBorder="1" applyAlignment="1">
      <alignment horizontal="center"/>
    </xf>
    <xf numFmtId="14" fontId="24" fillId="3" borderId="3" xfId="0" applyNumberFormat="1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30" fillId="3" borderId="15" xfId="0" applyFont="1" applyFill="1" applyBorder="1" applyAlignment="1">
      <alignment horizontal="center" vertical="center"/>
    </xf>
    <xf numFmtId="0" fontId="30" fillId="3" borderId="14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center"/>
    </xf>
    <xf numFmtId="0" fontId="24" fillId="3" borderId="8" xfId="0" applyFont="1" applyFill="1" applyBorder="1" applyAlignment="1">
      <alignment horizontal="center"/>
    </xf>
    <xf numFmtId="0" fontId="24" fillId="3" borderId="9" xfId="0" applyFont="1" applyFill="1" applyBorder="1" applyAlignment="1">
      <alignment horizontal="center"/>
    </xf>
    <xf numFmtId="49" fontId="24" fillId="3" borderId="56" xfId="0" applyNumberFormat="1" applyFont="1" applyFill="1" applyBorder="1" applyAlignment="1">
      <alignment horizontal="center"/>
    </xf>
    <xf numFmtId="49" fontId="24" fillId="3" borderId="57" xfId="0" applyNumberFormat="1" applyFont="1" applyFill="1" applyBorder="1" applyAlignment="1">
      <alignment horizontal="center"/>
    </xf>
    <xf numFmtId="49" fontId="24" fillId="3" borderId="60" xfId="0" applyNumberFormat="1" applyFont="1" applyFill="1" applyBorder="1" applyAlignment="1">
      <alignment horizontal="center"/>
    </xf>
    <xf numFmtId="49" fontId="24" fillId="3" borderId="61" xfId="0" applyNumberFormat="1" applyFont="1" applyFill="1" applyBorder="1" applyAlignment="1">
      <alignment horizontal="center"/>
    </xf>
    <xf numFmtId="0" fontId="24" fillId="3" borderId="62" xfId="0" applyFont="1" applyFill="1" applyBorder="1" applyAlignment="1">
      <alignment horizontal="center"/>
    </xf>
    <xf numFmtId="0" fontId="66" fillId="3" borderId="8" xfId="0" applyFont="1" applyFill="1" applyBorder="1" applyAlignment="1">
      <alignment horizontal="center"/>
    </xf>
    <xf numFmtId="49" fontId="24" fillId="3" borderId="63" xfId="0" applyNumberFormat="1" applyFont="1" applyFill="1" applyBorder="1" applyAlignment="1">
      <alignment horizontal="center"/>
    </xf>
    <xf numFmtId="49" fontId="24" fillId="3" borderId="8" xfId="0" applyNumberFormat="1" applyFont="1" applyFill="1" applyBorder="1" applyAlignment="1">
      <alignment horizontal="center"/>
    </xf>
    <xf numFmtId="49" fontId="24" fillId="3" borderId="54" xfId="0" applyNumberFormat="1" applyFont="1" applyFill="1" applyBorder="1" applyAlignment="1">
      <alignment horizontal="center"/>
    </xf>
    <xf numFmtId="49" fontId="24" fillId="3" borderId="52" xfId="0" applyNumberFormat="1" applyFont="1" applyFill="1" applyBorder="1" applyAlignment="1">
      <alignment horizontal="center"/>
    </xf>
    <xf numFmtId="49" fontId="24" fillId="3" borderId="13" xfId="0" applyNumberFormat="1" applyFont="1" applyFill="1" applyBorder="1" applyAlignment="1">
      <alignment horizontal="center"/>
    </xf>
    <xf numFmtId="49" fontId="24" fillId="3" borderId="48" xfId="0" applyNumberFormat="1" applyFont="1" applyFill="1" applyBorder="1" applyAlignment="1">
      <alignment horizontal="center"/>
    </xf>
    <xf numFmtId="0" fontId="24" fillId="3" borderId="45" xfId="0" applyFont="1" applyFill="1" applyBorder="1" applyAlignment="1">
      <alignment horizontal="center" vertical="center"/>
    </xf>
    <xf numFmtId="0" fontId="24" fillId="3" borderId="15" xfId="0" applyFont="1" applyFill="1" applyBorder="1" applyAlignment="1">
      <alignment horizontal="center" vertical="center"/>
    </xf>
    <xf numFmtId="0" fontId="24" fillId="3" borderId="34" xfId="0" applyFont="1" applyFill="1" applyBorder="1" applyAlignment="1">
      <alignment horizontal="center" vertical="center"/>
    </xf>
    <xf numFmtId="49" fontId="24" fillId="3" borderId="45" xfId="0" applyNumberFormat="1" applyFont="1" applyFill="1" applyBorder="1" applyAlignment="1">
      <alignment horizontal="center" vertical="center"/>
    </xf>
    <xf numFmtId="0" fontId="24" fillId="3" borderId="16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center" vertical="top" wrapText="1"/>
    </xf>
    <xf numFmtId="0" fontId="24" fillId="3" borderId="8" xfId="0" applyFont="1" applyFill="1" applyBorder="1" applyAlignment="1">
      <alignment horizontal="center" vertical="top" wrapText="1"/>
    </xf>
    <xf numFmtId="0" fontId="24" fillId="3" borderId="9" xfId="0" applyFont="1" applyFill="1" applyBorder="1" applyAlignment="1">
      <alignment horizontal="center" vertical="top" wrapText="1"/>
    </xf>
    <xf numFmtId="14" fontId="30" fillId="3" borderId="14" xfId="0" applyNumberFormat="1" applyFont="1" applyFill="1" applyBorder="1" applyAlignment="1">
      <alignment horizontal="center" vertical="center"/>
    </xf>
    <xf numFmtId="0" fontId="30" fillId="3" borderId="16" xfId="0" applyFont="1" applyFill="1" applyBorder="1" applyAlignment="1">
      <alignment horizontal="center" vertical="center"/>
    </xf>
    <xf numFmtId="0" fontId="24" fillId="3" borderId="2" xfId="0" applyFont="1" applyFill="1" applyBorder="1" applyAlignment="1">
      <alignment horizontal="center" vertical="center"/>
    </xf>
    <xf numFmtId="0" fontId="24" fillId="3" borderId="3" xfId="0" applyFont="1" applyFill="1" applyBorder="1" applyAlignment="1">
      <alignment horizontal="center" vertical="center"/>
    </xf>
    <xf numFmtId="0" fontId="24" fillId="3" borderId="4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center" vertical="center" wrapText="1"/>
    </xf>
    <xf numFmtId="0" fontId="24" fillId="3" borderId="8" xfId="0" applyFont="1" applyFill="1" applyBorder="1" applyAlignment="1">
      <alignment horizontal="center" vertical="center" wrapText="1"/>
    </xf>
    <xf numFmtId="0" fontId="24" fillId="3" borderId="9" xfId="0" applyFont="1" applyFill="1" applyBorder="1" applyAlignment="1">
      <alignment horizontal="center" vertical="center" wrapText="1"/>
    </xf>
    <xf numFmtId="0" fontId="24" fillId="3" borderId="26" xfId="0" applyFont="1" applyFill="1" applyBorder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4" fillId="3" borderId="27" xfId="0" applyFont="1" applyFill="1" applyBorder="1" applyAlignment="1">
      <alignment horizontal="center" vertical="center" wrapText="1"/>
    </xf>
    <xf numFmtId="0" fontId="24" fillId="3" borderId="26" xfId="0" applyFont="1" applyFill="1" applyBorder="1" applyAlignment="1">
      <alignment horizontal="center" vertical="top" wrapText="1"/>
    </xf>
    <xf numFmtId="0" fontId="24" fillId="3" borderId="27" xfId="0" applyFont="1" applyFill="1" applyBorder="1" applyAlignment="1">
      <alignment horizontal="center" vertical="top" wrapText="1"/>
    </xf>
    <xf numFmtId="166" fontId="30" fillId="3" borderId="15" xfId="0" applyNumberFormat="1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66" fillId="3" borderId="0" xfId="0" applyFont="1" applyFill="1" applyAlignment="1">
      <alignment horizontal="center"/>
    </xf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" fillId="2" borderId="16" xfId="0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horizontal="center" vertical="center" wrapText="1"/>
    </xf>
    <xf numFmtId="0" fontId="9" fillId="2" borderId="45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2" fillId="3" borderId="38" xfId="0" applyFont="1" applyFill="1" applyBorder="1" applyAlignment="1">
      <alignment horizontal="center" vertical="center" wrapText="1"/>
    </xf>
    <xf numFmtId="0" fontId="2" fillId="3" borderId="42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2" fillId="3" borderId="43" xfId="0" applyFont="1" applyFill="1" applyBorder="1" applyAlignment="1">
      <alignment horizontal="center" vertical="center" wrapText="1"/>
    </xf>
    <xf numFmtId="167" fontId="31" fillId="3" borderId="39" xfId="0" applyNumberFormat="1" applyFont="1" applyFill="1" applyBorder="1" applyAlignment="1">
      <alignment horizontal="center" vertical="center" textRotation="90" wrapText="1"/>
    </xf>
    <xf numFmtId="167" fontId="31" fillId="3" borderId="28" xfId="0" applyNumberFormat="1" applyFont="1" applyFill="1" applyBorder="1" applyAlignment="1">
      <alignment horizontal="center" vertical="center" textRotation="90" wrapText="1"/>
    </xf>
    <xf numFmtId="167" fontId="31" fillId="3" borderId="43" xfId="0" applyNumberFormat="1" applyFont="1" applyFill="1" applyBorder="1" applyAlignment="1">
      <alignment horizontal="center" vertical="center" textRotation="90" wrapText="1"/>
    </xf>
    <xf numFmtId="0" fontId="2" fillId="3" borderId="40" xfId="0" applyFont="1" applyFill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/>
    </xf>
    <xf numFmtId="0" fontId="2" fillId="3" borderId="46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35" xfId="0" applyFont="1" applyFill="1" applyBorder="1" applyAlignment="1">
      <alignment horizontal="center" vertical="center"/>
    </xf>
    <xf numFmtId="0" fontId="2" fillId="3" borderId="4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4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2" fillId="3" borderId="40" xfId="0" applyFont="1" applyFill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center" vertical="center" wrapText="1"/>
    </xf>
    <xf numFmtId="0" fontId="2" fillId="3" borderId="36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9" fillId="0" borderId="23" xfId="0" applyFont="1" applyBorder="1" applyAlignment="1">
      <alignment horizontal="right"/>
    </xf>
    <xf numFmtId="0" fontId="9" fillId="0" borderId="24" xfId="0" applyFont="1" applyBorder="1" applyAlignment="1">
      <alignment horizontal="right"/>
    </xf>
    <xf numFmtId="0" fontId="46" fillId="0" borderId="17" xfId="0" applyFont="1" applyBorder="1" applyAlignment="1">
      <alignment horizontal="left"/>
    </xf>
    <xf numFmtId="0" fontId="46" fillId="0" borderId="0" xfId="0" applyFont="1" applyAlignment="1">
      <alignment horizontal="left"/>
    </xf>
    <xf numFmtId="0" fontId="46" fillId="0" borderId="35" xfId="0" applyFont="1" applyBorder="1" applyAlignment="1">
      <alignment horizontal="left"/>
    </xf>
    <xf numFmtId="0" fontId="8" fillId="0" borderId="17" xfId="0" applyFont="1" applyBorder="1" applyAlignment="1">
      <alignment horizontal="center"/>
    </xf>
    <xf numFmtId="0" fontId="8" fillId="0" borderId="35" xfId="0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35" xfId="0" applyFont="1" applyBorder="1" applyAlignment="1">
      <alignment horizontal="left"/>
    </xf>
    <xf numFmtId="49" fontId="60" fillId="0" borderId="17" xfId="0" applyNumberFormat="1" applyFont="1" applyBorder="1" applyAlignment="1">
      <alignment horizontal="left"/>
    </xf>
    <xf numFmtId="49" fontId="46" fillId="0" borderId="0" xfId="0" applyNumberFormat="1" applyFont="1" applyAlignment="1">
      <alignment horizontal="left"/>
    </xf>
    <xf numFmtId="49" fontId="46" fillId="0" borderId="35" xfId="0" applyNumberFormat="1" applyFont="1" applyBorder="1" applyAlignment="1">
      <alignment horizontal="left"/>
    </xf>
    <xf numFmtId="49" fontId="46" fillId="0" borderId="17" xfId="0" applyNumberFormat="1" applyFont="1" applyBorder="1" applyAlignment="1">
      <alignment horizontal="left"/>
    </xf>
    <xf numFmtId="0" fontId="57" fillId="0" borderId="8" xfId="0" applyFont="1" applyBorder="1" applyAlignment="1">
      <alignment horizontal="center" vertical="top"/>
    </xf>
    <xf numFmtId="0" fontId="57" fillId="0" borderId="54" xfId="0" applyFont="1" applyBorder="1" applyAlignment="1">
      <alignment horizontal="center" vertical="top"/>
    </xf>
    <xf numFmtId="0" fontId="60" fillId="0" borderId="17" xfId="0" applyFont="1" applyBorder="1" applyAlignment="1">
      <alignment horizontal="left"/>
    </xf>
    <xf numFmtId="0" fontId="60" fillId="0" borderId="0" xfId="0" applyFont="1" applyAlignment="1">
      <alignment horizontal="left"/>
    </xf>
    <xf numFmtId="0" fontId="60" fillId="0" borderId="35" xfId="0" applyFont="1" applyBorder="1" applyAlignment="1">
      <alignment horizontal="left"/>
    </xf>
    <xf numFmtId="167" fontId="12" fillId="0" borderId="0" xfId="0" applyNumberFormat="1" applyFont="1" applyAlignment="1">
      <alignment horizontal="center"/>
    </xf>
    <xf numFmtId="0" fontId="12" fillId="0" borderId="17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2" fillId="0" borderId="35" xfId="0" applyFont="1" applyBorder="1" applyAlignment="1">
      <alignment horizontal="left"/>
    </xf>
    <xf numFmtId="14" fontId="59" fillId="0" borderId="0" xfId="0" applyNumberFormat="1" applyFont="1" applyAlignment="1">
      <alignment horizontal="center"/>
    </xf>
    <xf numFmtId="0" fontId="46" fillId="0" borderId="11" xfId="0" applyFont="1" applyBorder="1" applyAlignment="1">
      <alignment horizontal="center"/>
    </xf>
    <xf numFmtId="0" fontId="46" fillId="0" borderId="53" xfId="0" applyFont="1" applyBorder="1" applyAlignment="1">
      <alignment horizontal="center"/>
    </xf>
    <xf numFmtId="0" fontId="63" fillId="0" borderId="17" xfId="0" applyFont="1" applyBorder="1" applyAlignment="1">
      <alignment horizontal="center"/>
    </xf>
    <xf numFmtId="0" fontId="63" fillId="0" borderId="0" xfId="0" applyFont="1" applyAlignment="1">
      <alignment horizontal="center"/>
    </xf>
    <xf numFmtId="0" fontId="63" fillId="0" borderId="35" xfId="0" applyFont="1" applyBorder="1" applyAlignment="1">
      <alignment horizontal="center"/>
    </xf>
    <xf numFmtId="0" fontId="60" fillId="0" borderId="0" xfId="0" applyFont="1" applyAlignment="1">
      <alignment horizontal="center"/>
    </xf>
    <xf numFmtId="0" fontId="46" fillId="0" borderId="0" xfId="0" applyFont="1" applyAlignment="1">
      <alignment horizontal="right"/>
    </xf>
    <xf numFmtId="0" fontId="46" fillId="0" borderId="35" xfId="0" applyFont="1" applyBorder="1" applyAlignment="1">
      <alignment horizontal="right"/>
    </xf>
    <xf numFmtId="0" fontId="58" fillId="0" borderId="52" xfId="0" applyFont="1" applyBorder="1" applyAlignment="1">
      <alignment horizontal="center"/>
    </xf>
    <xf numFmtId="0" fontId="58" fillId="0" borderId="13" xfId="0" applyFont="1" applyBorder="1" applyAlignment="1">
      <alignment horizontal="center"/>
    </xf>
    <xf numFmtId="0" fontId="58" fillId="0" borderId="48" xfId="0" applyFont="1" applyBorder="1" applyAlignment="1">
      <alignment horizontal="center"/>
    </xf>
    <xf numFmtId="0" fontId="12" fillId="0" borderId="0" xfId="0" applyFont="1" applyAlignment="1">
      <alignment horizontal="left" vertical="center"/>
    </xf>
    <xf numFmtId="0" fontId="62" fillId="0" borderId="17" xfId="0" applyFont="1" applyBorder="1" applyAlignment="1">
      <alignment horizontal="left"/>
    </xf>
    <xf numFmtId="0" fontId="62" fillId="0" borderId="0" xfId="0" applyFont="1" applyAlignment="1">
      <alignment horizontal="left"/>
    </xf>
    <xf numFmtId="0" fontId="62" fillId="0" borderId="35" xfId="0" applyFont="1" applyBorder="1" applyAlignment="1">
      <alignment horizontal="left"/>
    </xf>
    <xf numFmtId="0" fontId="12" fillId="0" borderId="17" xfId="0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59" fillId="0" borderId="0" xfId="0" applyFont="1" applyAlignment="1">
      <alignment horizontal="center"/>
    </xf>
    <xf numFmtId="14" fontId="12" fillId="2" borderId="14" xfId="0" applyNumberFormat="1" applyFont="1" applyFill="1" applyBorder="1" applyAlignment="1">
      <alignment horizontal="center"/>
    </xf>
    <xf numFmtId="0" fontId="12" fillId="2" borderId="16" xfId="0" applyFont="1" applyFill="1" applyBorder="1" applyAlignment="1">
      <alignment horizontal="center"/>
    </xf>
    <xf numFmtId="2" fontId="46" fillId="0" borderId="0" xfId="0" applyNumberFormat="1" applyFont="1" applyAlignment="1">
      <alignment horizontal="right"/>
    </xf>
    <xf numFmtId="2" fontId="46" fillId="0" borderId="35" xfId="0" applyNumberFormat="1" applyFont="1" applyBorder="1" applyAlignment="1">
      <alignment horizontal="right"/>
    </xf>
    <xf numFmtId="14" fontId="62" fillId="2" borderId="14" xfId="0" applyNumberFormat="1" applyFont="1" applyFill="1" applyBorder="1" applyAlignment="1">
      <alignment horizontal="center"/>
    </xf>
    <xf numFmtId="0" fontId="62" fillId="2" borderId="16" xfId="0" applyFont="1" applyFill="1" applyBorder="1" applyAlignment="1">
      <alignment horizontal="center"/>
    </xf>
    <xf numFmtId="0" fontId="46" fillId="0" borderId="0" xfId="0" applyFont="1" applyAlignment="1">
      <alignment horizontal="center"/>
    </xf>
    <xf numFmtId="0" fontId="46" fillId="0" borderId="35" xfId="0" applyFont="1" applyBorder="1" applyAlignment="1">
      <alignment horizontal="center"/>
    </xf>
    <xf numFmtId="0" fontId="11" fillId="2" borderId="51" xfId="0" applyFont="1" applyFill="1" applyBorder="1" applyAlignment="1">
      <alignment horizontal="center" vertical="center" wrapText="1"/>
    </xf>
    <xf numFmtId="0" fontId="11" fillId="2" borderId="36" xfId="0" applyFont="1" applyFill="1" applyBorder="1" applyAlignment="1">
      <alignment horizontal="center" vertical="center" wrapText="1"/>
    </xf>
    <xf numFmtId="0" fontId="11" fillId="2" borderId="46" xfId="0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1" fillId="2" borderId="35" xfId="0" applyFont="1" applyFill="1" applyBorder="1" applyAlignment="1">
      <alignment horizontal="center" vertical="center" wrapText="1"/>
    </xf>
    <xf numFmtId="0" fontId="11" fillId="2" borderId="52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48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60" fillId="3" borderId="17" xfId="0" applyFont="1" applyFill="1" applyBorder="1" applyAlignment="1">
      <alignment horizontal="left"/>
    </xf>
    <xf numFmtId="0" fontId="60" fillId="3" borderId="0" xfId="0" applyFont="1" applyFill="1" applyAlignment="1">
      <alignment horizontal="left"/>
    </xf>
    <xf numFmtId="0" fontId="60" fillId="3" borderId="35" xfId="0" applyFont="1" applyFill="1" applyBorder="1" applyAlignment="1">
      <alignment horizontal="left"/>
    </xf>
    <xf numFmtId="14" fontId="12" fillId="0" borderId="14" xfId="0" applyNumberFormat="1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0" xfId="0" applyAlignment="1">
      <alignment horizontal="left"/>
    </xf>
    <xf numFmtId="0" fontId="0" fillId="0" borderId="35" xfId="0" applyBorder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35" xfId="0" applyNumberFormat="1" applyBorder="1" applyAlignment="1">
      <alignment horizontal="left"/>
    </xf>
    <xf numFmtId="0" fontId="47" fillId="0" borderId="17" xfId="0" applyFont="1" applyBorder="1" applyAlignment="1">
      <alignment horizontal="center"/>
    </xf>
    <xf numFmtId="0" fontId="47" fillId="0" borderId="0" xfId="0" applyFont="1" applyAlignment="1">
      <alignment horizontal="center"/>
    </xf>
    <xf numFmtId="0" fontId="35" fillId="0" borderId="0" xfId="0" applyFont="1" applyAlignment="1">
      <alignment horizontal="right"/>
    </xf>
    <xf numFmtId="0" fontId="38" fillId="0" borderId="8" xfId="0" applyFont="1" applyBorder="1" applyAlignment="1">
      <alignment horizontal="center" vertical="center"/>
    </xf>
    <xf numFmtId="0" fontId="38" fillId="0" borderId="54" xfId="0" applyFont="1" applyBorder="1" applyAlignment="1">
      <alignment horizontal="center" vertical="center"/>
    </xf>
    <xf numFmtId="0" fontId="36" fillId="0" borderId="52" xfId="0" applyFont="1" applyBorder="1" applyAlignment="1">
      <alignment horizontal="center" vertical="center"/>
    </xf>
    <xf numFmtId="0" fontId="36" fillId="0" borderId="13" xfId="0" applyFont="1" applyBorder="1" applyAlignment="1">
      <alignment horizontal="center" vertical="center"/>
    </xf>
    <xf numFmtId="0" fontId="36" fillId="0" borderId="48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14" fontId="35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0" borderId="35" xfId="0" applyFont="1" applyBorder="1" applyAlignment="1">
      <alignment horizontal="center" vertical="center"/>
    </xf>
    <xf numFmtId="0" fontId="36" fillId="0" borderId="17" xfId="0" applyFont="1" applyBorder="1" applyAlignment="1">
      <alignment horizontal="center" vertical="center"/>
    </xf>
    <xf numFmtId="165" fontId="35" fillId="0" borderId="0" xfId="0" applyNumberFormat="1" applyFont="1" applyAlignment="1">
      <alignment horizontal="center" vertical="center"/>
    </xf>
    <xf numFmtId="165" fontId="35" fillId="0" borderId="35" xfId="0" applyNumberFormat="1" applyFont="1" applyBorder="1" applyAlignment="1">
      <alignment horizontal="center" vertical="center"/>
    </xf>
    <xf numFmtId="0" fontId="35" fillId="0" borderId="35" xfId="0" applyFont="1" applyBorder="1" applyAlignment="1">
      <alignment horizontal="center" vertical="center"/>
    </xf>
    <xf numFmtId="14" fontId="37" fillId="0" borderId="0" xfId="0" applyNumberFormat="1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14" fontId="36" fillId="0" borderId="17" xfId="0" applyNumberFormat="1" applyFont="1" applyBorder="1" applyAlignment="1">
      <alignment horizontal="center" vertical="center"/>
    </xf>
    <xf numFmtId="14" fontId="36" fillId="0" borderId="0" xfId="0" applyNumberFormat="1" applyFont="1" applyAlignment="1">
      <alignment horizontal="center" vertical="center"/>
    </xf>
    <xf numFmtId="14" fontId="36" fillId="0" borderId="35" xfId="0" applyNumberFormat="1" applyFont="1" applyBorder="1" applyAlignment="1">
      <alignment horizontal="center" vertical="center"/>
    </xf>
    <xf numFmtId="0" fontId="36" fillId="0" borderId="17" xfId="0" applyFont="1" applyBorder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36" fillId="0" borderId="35" xfId="0" applyFont="1" applyBorder="1" applyAlignment="1">
      <alignment horizontal="left" vertical="center"/>
    </xf>
    <xf numFmtId="0" fontId="35" fillId="0" borderId="52" xfId="0" applyFont="1" applyBorder="1" applyAlignment="1">
      <alignment horizontal="center" vertical="center"/>
    </xf>
    <xf numFmtId="0" fontId="35" fillId="0" borderId="13" xfId="0" applyFont="1" applyBorder="1" applyAlignment="1">
      <alignment horizontal="center" vertical="center"/>
    </xf>
    <xf numFmtId="0" fontId="36" fillId="0" borderId="51" xfId="0" applyFont="1" applyBorder="1" applyAlignment="1">
      <alignment horizontal="left" vertical="center"/>
    </xf>
    <xf numFmtId="0" fontId="36" fillId="0" borderId="36" xfId="0" applyFont="1" applyBorder="1" applyAlignment="1">
      <alignment horizontal="left" vertical="center"/>
    </xf>
    <xf numFmtId="0" fontId="35" fillId="0" borderId="36" xfId="0" applyFont="1" applyBorder="1" applyAlignment="1">
      <alignment horizontal="center" vertical="center"/>
    </xf>
    <xf numFmtId="0" fontId="35" fillId="0" borderId="0" xfId="0" applyFont="1" applyAlignment="1">
      <alignment horizontal="left" vertical="center"/>
    </xf>
    <xf numFmtId="0" fontId="35" fillId="0" borderId="35" xfId="0" applyFont="1" applyBorder="1" applyAlignment="1">
      <alignment horizontal="left" vertical="center"/>
    </xf>
    <xf numFmtId="14" fontId="35" fillId="0" borderId="17" xfId="0" applyNumberFormat="1" applyFont="1" applyBorder="1" applyAlignment="1">
      <alignment horizontal="left" vertical="center"/>
    </xf>
    <xf numFmtId="0" fontId="35" fillId="0" borderId="17" xfId="0" applyFont="1" applyBorder="1" applyAlignment="1">
      <alignment vertical="center"/>
    </xf>
    <xf numFmtId="0" fontId="35" fillId="0" borderId="0" xfId="0" applyFont="1" applyAlignment="1">
      <alignment vertical="center"/>
    </xf>
    <xf numFmtId="0" fontId="35" fillId="0" borderId="17" xfId="0" applyFont="1" applyBorder="1" applyAlignment="1">
      <alignment horizontal="left" vertical="center"/>
    </xf>
    <xf numFmtId="0" fontId="36" fillId="0" borderId="17" xfId="0" applyFont="1" applyBorder="1" applyAlignment="1">
      <alignment horizontal="left" vertical="top" wrapText="1"/>
    </xf>
    <xf numFmtId="0" fontId="36" fillId="0" borderId="0" xfId="0" applyFont="1" applyAlignment="1">
      <alignment horizontal="left" vertical="top"/>
    </xf>
    <xf numFmtId="0" fontId="36" fillId="0" borderId="35" xfId="0" applyFont="1" applyBorder="1" applyAlignment="1">
      <alignment horizontal="left" vertical="top"/>
    </xf>
    <xf numFmtId="49" fontId="35" fillId="0" borderId="0" xfId="0" applyNumberFormat="1" applyFont="1" applyAlignment="1">
      <alignment horizontal="center" vertical="center"/>
    </xf>
    <xf numFmtId="0" fontId="36" fillId="0" borderId="52" xfId="0" applyFont="1" applyBorder="1" applyAlignment="1">
      <alignment horizontal="left" vertical="center"/>
    </xf>
    <xf numFmtId="0" fontId="36" fillId="0" borderId="13" xfId="0" applyFont="1" applyBorder="1" applyAlignment="1">
      <alignment horizontal="left" vertical="center"/>
    </xf>
    <xf numFmtId="0" fontId="36" fillId="0" borderId="48" xfId="0" applyFont="1" applyBorder="1" applyAlignment="1">
      <alignment horizontal="left" vertical="center"/>
    </xf>
    <xf numFmtId="0" fontId="38" fillId="0" borderId="0" xfId="0" applyFont="1" applyAlignment="1">
      <alignment horizontal="center"/>
    </xf>
    <xf numFmtId="0" fontId="35" fillId="0" borderId="8" xfId="0" applyFont="1" applyBorder="1" applyAlignment="1">
      <alignment horizontal="center" vertical="center"/>
    </xf>
    <xf numFmtId="0" fontId="36" fillId="0" borderId="1" xfId="0" applyFont="1" applyBorder="1" applyAlignment="1">
      <alignment horizontal="left" vertical="center"/>
    </xf>
    <xf numFmtId="0" fontId="36" fillId="0" borderId="1" xfId="0" applyFont="1" applyBorder="1" applyAlignment="1">
      <alignment horizontal="left" vertical="center" wrapText="1"/>
    </xf>
    <xf numFmtId="14" fontId="36" fillId="0" borderId="1" xfId="0" applyNumberFormat="1" applyFont="1" applyBorder="1" applyAlignment="1">
      <alignment horizontal="left" vertical="center"/>
    </xf>
    <xf numFmtId="12" fontId="36" fillId="0" borderId="1" xfId="0" applyNumberFormat="1" applyFont="1" applyBorder="1" applyAlignment="1">
      <alignment horizontal="left" vertical="center"/>
    </xf>
    <xf numFmtId="167" fontId="35" fillId="0" borderId="0" xfId="0" applyNumberFormat="1" applyFont="1" applyAlignment="1">
      <alignment horizontal="center" vertical="center"/>
    </xf>
    <xf numFmtId="167" fontId="36" fillId="0" borderId="0" xfId="0" applyNumberFormat="1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67" fontId="35" fillId="0" borderId="0" xfId="0" applyNumberFormat="1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left" vertical="center"/>
    </xf>
    <xf numFmtId="0" fontId="35" fillId="0" borderId="0" xfId="0" applyFont="1" applyAlignment="1">
      <alignment horizontal="center"/>
    </xf>
    <xf numFmtId="0" fontId="43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horizontal="left" vertical="center"/>
    </xf>
    <xf numFmtId="0" fontId="47" fillId="0" borderId="35" xfId="0" applyFont="1" applyBorder="1" applyAlignment="1">
      <alignment horizontal="center" vertical="center"/>
    </xf>
    <xf numFmtId="0" fontId="71" fillId="2" borderId="14" xfId="0" applyFont="1" applyFill="1" applyBorder="1" applyAlignment="1">
      <alignment horizontal="center"/>
    </xf>
    <xf numFmtId="0" fontId="71" fillId="2" borderId="15" xfId="0" applyFont="1" applyFill="1" applyBorder="1" applyAlignment="1">
      <alignment horizontal="center"/>
    </xf>
    <xf numFmtId="0" fontId="71" fillId="2" borderId="16" xfId="0" applyFont="1" applyFill="1" applyBorder="1" applyAlignment="1">
      <alignment horizontal="center"/>
    </xf>
  </cellXfs>
  <cellStyles count="3">
    <cellStyle name="Гиперссылка" xfId="2" builtinId="8"/>
    <cellStyle name="Обычный" xfId="0" builtinId="0"/>
    <cellStyle name="Стиль 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238124</xdr:colOff>
      <xdr:row>7</xdr:row>
      <xdr:rowOff>107157</xdr:rowOff>
    </xdr:from>
    <xdr:to>
      <xdr:col>4</xdr:col>
      <xdr:colOff>452437</xdr:colOff>
      <xdr:row>10</xdr:row>
      <xdr:rowOff>162840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4" y="1524001"/>
          <a:ext cx="2607469" cy="1067714"/>
        </a:xfrm>
        <a:prstGeom prst="rect">
          <a:avLst/>
        </a:prstGeom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202407</xdr:colOff>
      <xdr:row>0</xdr:row>
      <xdr:rowOff>0</xdr:rowOff>
    </xdr:from>
    <xdr:to>
      <xdr:col>4</xdr:col>
      <xdr:colOff>297657</xdr:colOff>
      <xdr:row>3</xdr:row>
      <xdr:rowOff>258089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407" y="83344"/>
          <a:ext cx="2607469" cy="1067714"/>
        </a:xfrm>
        <a:prstGeom prst="rect">
          <a:avLst/>
        </a:prstGeom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35718</xdr:colOff>
      <xdr:row>0</xdr:row>
      <xdr:rowOff>107157</xdr:rowOff>
    </xdr:from>
    <xdr:to>
      <xdr:col>4</xdr:col>
      <xdr:colOff>214312</xdr:colOff>
      <xdr:row>4</xdr:row>
      <xdr:rowOff>115215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" y="107157"/>
          <a:ext cx="2607469" cy="1067714"/>
        </a:xfrm>
        <a:prstGeom prst="rect">
          <a:avLst/>
        </a:prstGeom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119063</xdr:colOff>
      <xdr:row>1</xdr:row>
      <xdr:rowOff>23812</xdr:rowOff>
    </xdr:from>
    <xdr:to>
      <xdr:col>4</xdr:col>
      <xdr:colOff>297657</xdr:colOff>
      <xdr:row>4</xdr:row>
      <xdr:rowOff>222370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3" y="214312"/>
          <a:ext cx="2607469" cy="1067714"/>
        </a:xfrm>
        <a:prstGeom prst="rect">
          <a:avLst/>
        </a:prstGeom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226219</xdr:colOff>
      <xdr:row>0</xdr:row>
      <xdr:rowOff>130969</xdr:rowOff>
    </xdr:from>
    <xdr:to>
      <xdr:col>4</xdr:col>
      <xdr:colOff>404813</xdr:colOff>
      <xdr:row>4</xdr:row>
      <xdr:rowOff>139027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219" y="130969"/>
          <a:ext cx="2607469" cy="1067714"/>
        </a:xfrm>
        <a:prstGeom prst="rect">
          <a:avLst/>
        </a:prstGeom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154782</xdr:colOff>
      <xdr:row>0</xdr:row>
      <xdr:rowOff>95250</xdr:rowOff>
    </xdr:from>
    <xdr:to>
      <xdr:col>4</xdr:col>
      <xdr:colOff>333376</xdr:colOff>
      <xdr:row>4</xdr:row>
      <xdr:rowOff>103308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782" y="95250"/>
          <a:ext cx="2607469" cy="1067714"/>
        </a:xfrm>
        <a:prstGeom prst="rect">
          <a:avLst/>
        </a:prstGeom>
        <a:effectLst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154782</xdr:colOff>
      <xdr:row>0</xdr:row>
      <xdr:rowOff>83344</xdr:rowOff>
    </xdr:from>
    <xdr:to>
      <xdr:col>4</xdr:col>
      <xdr:colOff>83345</xdr:colOff>
      <xdr:row>4</xdr:row>
      <xdr:rowOff>162839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782" y="83344"/>
          <a:ext cx="2607469" cy="1067714"/>
        </a:xfrm>
        <a:prstGeom prst="rect">
          <a:avLst/>
        </a:prstGeom>
        <a:effectLst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202406</xdr:colOff>
      <xdr:row>0</xdr:row>
      <xdr:rowOff>107156</xdr:rowOff>
    </xdr:from>
    <xdr:to>
      <xdr:col>4</xdr:col>
      <xdr:colOff>130969</xdr:colOff>
      <xdr:row>4</xdr:row>
      <xdr:rowOff>186651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98A0E734-6D17-4645-AD1A-ABB804F4C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406" y="107156"/>
          <a:ext cx="2607469" cy="1067714"/>
        </a:xfrm>
        <a:prstGeom prst="rect">
          <a:avLst/>
        </a:prstGeom>
        <a:effectLst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11905</xdr:colOff>
      <xdr:row>0</xdr:row>
      <xdr:rowOff>119063</xdr:rowOff>
    </xdr:from>
    <xdr:to>
      <xdr:col>21</xdr:col>
      <xdr:colOff>18909</xdr:colOff>
      <xdr:row>4</xdr:row>
      <xdr:rowOff>137583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155" y="119063"/>
          <a:ext cx="1890837" cy="780520"/>
        </a:xfrm>
        <a:prstGeom prst="rect">
          <a:avLst/>
        </a:prstGeom>
        <a:effectLst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6350</xdr:rowOff>
    </xdr:from>
    <xdr:to>
      <xdr:col>24</xdr:col>
      <xdr:colOff>38100</xdr:colOff>
      <xdr:row>3</xdr:row>
      <xdr:rowOff>104036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C4081DB7-5286-4248-8C74-439F21394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6350"/>
          <a:ext cx="1409699" cy="580286"/>
        </a:xfrm>
        <a:prstGeom prst="rect">
          <a:avLst/>
        </a:prstGeom>
        <a:effectLst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38</xdr:row>
      <xdr:rowOff>130970</xdr:rowOff>
    </xdr:from>
    <xdr:to>
      <xdr:col>2</xdr:col>
      <xdr:colOff>249465</xdr:colOff>
      <xdr:row>42</xdr:row>
      <xdr:rowOff>8897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4DDAF87-F575-4307-BC06-C35A6C764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30970"/>
          <a:ext cx="2735036" cy="1159266"/>
        </a:xfrm>
        <a:prstGeom prst="rect">
          <a:avLst/>
        </a:prstGeom>
        <a:effectLst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66675</xdr:rowOff>
    </xdr:from>
    <xdr:to>
      <xdr:col>2</xdr:col>
      <xdr:colOff>659031</xdr:colOff>
      <xdr:row>4</xdr:row>
      <xdr:rowOff>10245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94B8B31-9E22-48E3-B68F-C2E28DB0C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66675"/>
          <a:ext cx="2223788" cy="930127"/>
        </a:xfrm>
        <a:prstGeom prst="rect">
          <a:avLst/>
        </a:prstGeom>
        <a:effectLst/>
      </xdr:spPr>
    </xdr:pic>
    <xdr:clientData/>
  </xdr:twoCellAnchor>
  <xdr:oneCellAnchor>
    <xdr:from>
      <xdr:col>0</xdr:col>
      <xdr:colOff>19051</xdr:colOff>
      <xdr:row>44</xdr:row>
      <xdr:rowOff>66675</xdr:rowOff>
    </xdr:from>
    <xdr:ext cx="2223788" cy="930127"/>
    <xdr:pic>
      <xdr:nvPicPr>
        <xdr:cNvPr id="10" name="Рисунок 9">
          <a:extLst>
            <a:ext uri="{FF2B5EF4-FFF2-40B4-BE49-F238E27FC236}">
              <a16:creationId xmlns:a16="http://schemas.microsoft.com/office/drawing/2014/main" id="{8A8C0EF5-28EF-4F12-BBED-C91DE1825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66675"/>
          <a:ext cx="2223788" cy="930127"/>
        </a:xfrm>
        <a:prstGeom prst="rect">
          <a:avLst/>
        </a:prstGeom>
        <a:effectLst/>
      </xdr:spPr>
    </xdr:pic>
    <xdr:clientData/>
  </xdr:oneCellAnchor>
  <xdr:oneCellAnchor>
    <xdr:from>
      <xdr:col>0</xdr:col>
      <xdr:colOff>19051</xdr:colOff>
      <xdr:row>92</xdr:row>
      <xdr:rowOff>66675</xdr:rowOff>
    </xdr:from>
    <xdr:ext cx="2223788" cy="930127"/>
    <xdr:pic>
      <xdr:nvPicPr>
        <xdr:cNvPr id="14" name="Рисунок 13">
          <a:extLst>
            <a:ext uri="{FF2B5EF4-FFF2-40B4-BE49-F238E27FC236}">
              <a16:creationId xmlns:a16="http://schemas.microsoft.com/office/drawing/2014/main" id="{CE6A9BBE-7179-4C7D-97B4-62964FEA9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10953972"/>
          <a:ext cx="2223788" cy="930127"/>
        </a:xfrm>
        <a:prstGeom prst="rect">
          <a:avLst/>
        </a:prstGeom>
        <a:effectLst/>
      </xdr:spPr>
    </xdr:pic>
    <xdr:clientData/>
  </xdr:oneCellAnchor>
  <xdr:twoCellAnchor editAs="oneCell">
    <xdr:from>
      <xdr:col>9</xdr:col>
      <xdr:colOff>809625</xdr:colOff>
      <xdr:row>36</xdr:row>
      <xdr:rowOff>154781</xdr:rowOff>
    </xdr:from>
    <xdr:to>
      <xdr:col>13</xdr:col>
      <xdr:colOff>116827</xdr:colOff>
      <xdr:row>41</xdr:row>
      <xdr:rowOff>37718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B951CA15-503E-4E18-A8CA-C7C51B6AF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0" y="8965406"/>
          <a:ext cx="2033733" cy="1073562"/>
        </a:xfrm>
        <a:prstGeom prst="rect">
          <a:avLst/>
        </a:prstGeom>
      </xdr:spPr>
    </xdr:pic>
    <xdr:clientData/>
  </xdr:twoCellAnchor>
  <xdr:twoCellAnchor editAs="oneCell">
    <xdr:from>
      <xdr:col>9</xdr:col>
      <xdr:colOff>714375</xdr:colOff>
      <xdr:row>84</xdr:row>
      <xdr:rowOff>190500</xdr:rowOff>
    </xdr:from>
    <xdr:to>
      <xdr:col>13</xdr:col>
      <xdr:colOff>21577</xdr:colOff>
      <xdr:row>89</xdr:row>
      <xdr:rowOff>73437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32E1929C-E12D-42A4-8BC2-06CCDD2E6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00" y="20681156"/>
          <a:ext cx="2033733" cy="1073562"/>
        </a:xfrm>
        <a:prstGeom prst="rect">
          <a:avLst/>
        </a:prstGeom>
      </xdr:spPr>
    </xdr:pic>
    <xdr:clientData/>
  </xdr:twoCellAnchor>
  <xdr:twoCellAnchor editAs="oneCell">
    <xdr:from>
      <xdr:col>9</xdr:col>
      <xdr:colOff>762000</xdr:colOff>
      <xdr:row>150</xdr:row>
      <xdr:rowOff>142875</xdr:rowOff>
    </xdr:from>
    <xdr:to>
      <xdr:col>13</xdr:col>
      <xdr:colOff>69202</xdr:colOff>
      <xdr:row>155</xdr:row>
      <xdr:rowOff>25812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FA90904F-435D-4CC7-8711-FCB870546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48625" y="36766500"/>
          <a:ext cx="2033733" cy="1073562"/>
        </a:xfrm>
        <a:prstGeom prst="rect">
          <a:avLst/>
        </a:prstGeom>
      </xdr:spPr>
    </xdr:pic>
    <xdr:clientData/>
  </xdr:twoCellAnchor>
  <xdr:twoCellAnchor editAs="oneCell">
    <xdr:from>
      <xdr:col>8</xdr:col>
      <xdr:colOff>35719</xdr:colOff>
      <xdr:row>35</xdr:row>
      <xdr:rowOff>11906</xdr:rowOff>
    </xdr:from>
    <xdr:to>
      <xdr:col>11</xdr:col>
      <xdr:colOff>190501</xdr:colOff>
      <xdr:row>43</xdr:row>
      <xdr:rowOff>195807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4A5C481F-01B3-4822-8242-BA83A5415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8438" y="8584406"/>
          <a:ext cx="2083594" cy="2088901"/>
        </a:xfrm>
        <a:prstGeom prst="rect">
          <a:avLst/>
        </a:prstGeom>
      </xdr:spPr>
    </xdr:pic>
    <xdr:clientData/>
  </xdr:twoCellAnchor>
  <xdr:twoCellAnchor editAs="oneCell">
    <xdr:from>
      <xdr:col>7</xdr:col>
      <xdr:colOff>1095375</xdr:colOff>
      <xdr:row>83</xdr:row>
      <xdr:rowOff>71438</xdr:rowOff>
    </xdr:from>
    <xdr:to>
      <xdr:col>11</xdr:col>
      <xdr:colOff>107157</xdr:colOff>
      <xdr:row>92</xdr:row>
      <xdr:rowOff>5307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5F76F9E7-053C-4F6B-9C50-8E9FD527B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65094" y="20323969"/>
          <a:ext cx="2083594" cy="2088901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1047750</xdr:colOff>
      <xdr:row>149</xdr:row>
      <xdr:rowOff>83343</xdr:rowOff>
    </xdr:from>
    <xdr:to>
      <xdr:col>11</xdr:col>
      <xdr:colOff>59532</xdr:colOff>
      <xdr:row>157</xdr:row>
      <xdr:rowOff>243432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7279B850-2010-42EF-8C8B-47E95FE76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7469" y="36445031"/>
          <a:ext cx="2083594" cy="208890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66675</xdr:rowOff>
    </xdr:from>
    <xdr:to>
      <xdr:col>2</xdr:col>
      <xdr:colOff>649506</xdr:colOff>
      <xdr:row>4</xdr:row>
      <xdr:rowOff>10245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FB8D26D8-E3A5-4FB1-90BC-F34AA0B3B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66675"/>
          <a:ext cx="2221130" cy="907976"/>
        </a:xfrm>
        <a:prstGeom prst="rect">
          <a:avLst/>
        </a:prstGeom>
        <a:effectLst/>
      </xdr:spPr>
    </xdr:pic>
    <xdr:clientData/>
  </xdr:twoCellAnchor>
  <xdr:oneCellAnchor>
    <xdr:from>
      <xdr:col>0</xdr:col>
      <xdr:colOff>19051</xdr:colOff>
      <xdr:row>49</xdr:row>
      <xdr:rowOff>66675</xdr:rowOff>
    </xdr:from>
    <xdr:ext cx="2223788" cy="930127"/>
    <xdr:pic>
      <xdr:nvPicPr>
        <xdr:cNvPr id="11" name="Рисунок 10">
          <a:extLst>
            <a:ext uri="{FF2B5EF4-FFF2-40B4-BE49-F238E27FC236}">
              <a16:creationId xmlns:a16="http://schemas.microsoft.com/office/drawing/2014/main" id="{FF07AB4B-71CE-4C41-B005-456605CDA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10763250"/>
          <a:ext cx="2223788" cy="930127"/>
        </a:xfrm>
        <a:prstGeom prst="rect">
          <a:avLst/>
        </a:prstGeom>
        <a:effectLst/>
      </xdr:spPr>
    </xdr:pic>
    <xdr:clientData/>
  </xdr:oneCellAnchor>
  <xdr:oneCellAnchor>
    <xdr:from>
      <xdr:col>0</xdr:col>
      <xdr:colOff>19051</xdr:colOff>
      <xdr:row>99</xdr:row>
      <xdr:rowOff>66675</xdr:rowOff>
    </xdr:from>
    <xdr:ext cx="2223788" cy="930127"/>
    <xdr:pic>
      <xdr:nvPicPr>
        <xdr:cNvPr id="13" name="Рисунок 12">
          <a:extLst>
            <a:ext uri="{FF2B5EF4-FFF2-40B4-BE49-F238E27FC236}">
              <a16:creationId xmlns:a16="http://schemas.microsoft.com/office/drawing/2014/main" id="{2461E6D0-8655-4700-A62F-B4113B884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22412325"/>
          <a:ext cx="2223788" cy="930127"/>
        </a:xfrm>
        <a:prstGeom prst="rect">
          <a:avLst/>
        </a:prstGeom>
        <a:effectLst/>
      </xdr:spPr>
    </xdr:pic>
    <xdr:clientData/>
  </xdr:oneCellAnchor>
  <xdr:twoCellAnchor editAs="oneCell">
    <xdr:from>
      <xdr:col>8</xdr:col>
      <xdr:colOff>11905</xdr:colOff>
      <xdr:row>40</xdr:row>
      <xdr:rowOff>35718</xdr:rowOff>
    </xdr:from>
    <xdr:to>
      <xdr:col>11</xdr:col>
      <xdr:colOff>166687</xdr:colOff>
      <xdr:row>48</xdr:row>
      <xdr:rowOff>219619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AD801F1D-C845-48A2-9420-BEA03890B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4624" y="9822656"/>
          <a:ext cx="2083594" cy="2088901"/>
        </a:xfrm>
        <a:prstGeom prst="rect">
          <a:avLst/>
        </a:prstGeom>
      </xdr:spPr>
    </xdr:pic>
    <xdr:clientData/>
  </xdr:twoCellAnchor>
  <xdr:twoCellAnchor editAs="oneCell">
    <xdr:from>
      <xdr:col>10</xdr:col>
      <xdr:colOff>138093</xdr:colOff>
      <xdr:row>41</xdr:row>
      <xdr:rowOff>150000</xdr:rowOff>
    </xdr:from>
    <xdr:to>
      <xdr:col>13</xdr:col>
      <xdr:colOff>266826</xdr:colOff>
      <xdr:row>46</xdr:row>
      <xdr:rowOff>32937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3E64F03E-E19E-4229-87C1-6D27D412A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65312" y="10175063"/>
          <a:ext cx="2033733" cy="1073562"/>
        </a:xfrm>
        <a:prstGeom prst="rect">
          <a:avLst/>
        </a:prstGeom>
      </xdr:spPr>
    </xdr:pic>
    <xdr:clientData/>
  </xdr:twoCellAnchor>
  <xdr:twoCellAnchor editAs="oneCell">
    <xdr:from>
      <xdr:col>7</xdr:col>
      <xdr:colOff>1116804</xdr:colOff>
      <xdr:row>90</xdr:row>
      <xdr:rowOff>57150</xdr:rowOff>
    </xdr:from>
    <xdr:to>
      <xdr:col>11</xdr:col>
      <xdr:colOff>128586</xdr:colOff>
      <xdr:row>98</xdr:row>
      <xdr:rowOff>241051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E64448D8-4871-482A-AA06-6D377A34A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86523" y="22024181"/>
          <a:ext cx="2083594" cy="2088901"/>
        </a:xfrm>
        <a:prstGeom prst="rect">
          <a:avLst/>
        </a:prstGeom>
      </xdr:spPr>
    </xdr:pic>
    <xdr:clientData/>
  </xdr:twoCellAnchor>
  <xdr:twoCellAnchor editAs="oneCell">
    <xdr:from>
      <xdr:col>8</xdr:col>
      <xdr:colOff>11906</xdr:colOff>
      <xdr:row>153</xdr:row>
      <xdr:rowOff>142875</xdr:rowOff>
    </xdr:from>
    <xdr:to>
      <xdr:col>11</xdr:col>
      <xdr:colOff>166688</xdr:colOff>
      <xdr:row>162</xdr:row>
      <xdr:rowOff>52932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2C9573CE-4E81-4C78-A7AC-713D56168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4625" y="37528500"/>
          <a:ext cx="2083594" cy="2088901"/>
        </a:xfrm>
        <a:prstGeom prst="rect">
          <a:avLst/>
        </a:prstGeom>
      </xdr:spPr>
    </xdr:pic>
    <xdr:clientData/>
  </xdr:twoCellAnchor>
  <xdr:twoCellAnchor editAs="oneCell">
    <xdr:from>
      <xdr:col>9</xdr:col>
      <xdr:colOff>857250</xdr:colOff>
      <xdr:row>91</xdr:row>
      <xdr:rowOff>130968</xdr:rowOff>
    </xdr:from>
    <xdr:to>
      <xdr:col>13</xdr:col>
      <xdr:colOff>45389</xdr:colOff>
      <xdr:row>96</xdr:row>
      <xdr:rowOff>13905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59D9863E-B8FA-423C-9A9F-924CA8CFD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43875" y="22336124"/>
          <a:ext cx="2033733" cy="1073562"/>
        </a:xfrm>
        <a:prstGeom prst="rect">
          <a:avLst/>
        </a:prstGeom>
      </xdr:spPr>
    </xdr:pic>
    <xdr:clientData/>
  </xdr:twoCellAnchor>
  <xdr:twoCellAnchor editAs="oneCell">
    <xdr:from>
      <xdr:col>9</xdr:col>
      <xdr:colOff>833437</xdr:colOff>
      <xdr:row>154</xdr:row>
      <xdr:rowOff>178594</xdr:rowOff>
    </xdr:from>
    <xdr:to>
      <xdr:col>13</xdr:col>
      <xdr:colOff>21576</xdr:colOff>
      <xdr:row>159</xdr:row>
      <xdr:rowOff>61531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B1D7B84D-ADA5-458B-9FA1-A351A2C50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0062" y="37826157"/>
          <a:ext cx="2033733" cy="107356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7;&#1077;&#1088;&#1074;&#1077;&#1088;%20&#1057;&#1077;&#1088;&#1074;&#1080;&#1089;/YandexDisk/&#1063;&#1045;&#1056;&#1053;&#1067;&#1049;%20&#1057;&#1055;&#1048;&#1057;&#1054;&#1050;/2%20&#1063;&#1077;&#1088;&#1085;&#1099;&#1081;%20&#1089;&#1087;&#1080;&#1089;&#1086;&#1082;%20&#1082;&#1083;&#1080;&#1077;&#1085;&#1090;&#1086;&#1074;/&#1057;&#1055;&#1048;&#1057;&#1054;&#1050;%20&#1044;&#1054;&#1051;&#1046;&#1053;&#1048;&#1050;&#1054;&#1042;%20&#1080;%20&#1052;&#1054;&#1064;&#1045;&#1053;&#1053;&#1048;&#1050;&#1054;&#1042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&#1052;&#1072;&#1082;&#1088;&#1086;&#1089;\&#1063;&#1080;&#1089;&#1083;&#1086;%20&#1087;&#1088;&#1086;&#1087;&#1080;&#1089;&#1100;&#1102;%20&#1074;&#1072;&#1083;&#1102;&#1090;&#1072;.xla" TargetMode="External"/><Relationship Id="rId1" Type="http://schemas.openxmlformats.org/officeDocument/2006/relationships/externalLinkPath" Target="file:///C:\&#1052;&#1072;&#1082;&#1088;&#1086;&#1089;\&#1063;&#1080;&#1089;&#1083;&#1086;%20&#1087;&#1088;&#1086;&#1087;&#1080;&#1089;&#1100;&#1102;%20&#1074;&#1072;&#1083;&#1102;&#1090;&#1072;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Умная таблица"/>
      <sheetName val="Вар 1"/>
      <sheetName val="СПИСОК ДОЛЖНИКОВ и МОШЕННИКОВ"/>
      <sheetName val="Архив за 2021г"/>
      <sheetName val="Проверка"/>
    </sheetNames>
    <sheetDataSet>
      <sheetData sheetId="0"/>
      <sheetData sheetId="1">
        <row r="1">
          <cell r="A1" t="str">
            <v>Ф.И.О.</v>
          </cell>
          <cell r="B1" t="str">
            <v>Дата рождения</v>
          </cell>
          <cell r="C1" t="str">
            <v>ДЕЙСТВИЕ</v>
          </cell>
          <cell r="D1" t="str">
            <v>КТО ОН</v>
          </cell>
          <cell r="E1" t="str">
            <v>ДОЛГ</v>
          </cell>
          <cell r="F1" t="str">
            <v>Столбец1</v>
          </cell>
          <cell r="G1" t="str">
            <v>ОБОСНОВАНИЕ</v>
          </cell>
        </row>
        <row r="2">
          <cell r="A2" t="str">
            <v>Абдекиримова Нургул Жусуповна</v>
          </cell>
          <cell r="B2"/>
          <cell r="C2"/>
          <cell r="D2" t="str">
            <v>Должник</v>
          </cell>
          <cell r="E2">
            <v>0</v>
          </cell>
          <cell r="F2" t="str">
            <v>Расчиталась</v>
          </cell>
          <cell r="G2" t="str">
            <v>Взяли мойку с горем пополам через 2 месяца рассчитались</v>
          </cell>
        </row>
        <row r="3">
          <cell r="A3" t="str">
            <v>Абдикеримов Мустафа Абдимиталипович</v>
          </cell>
          <cell r="B3"/>
          <cell r="C3"/>
          <cell r="D3" t="str">
            <v>Долбаеб</v>
          </cell>
          <cell r="E3">
            <v>0</v>
          </cell>
          <cell r="F3" t="str">
            <v>Осторожно</v>
          </cell>
          <cell r="G3" t="str">
            <v>ЗАЕБАЛ</v>
          </cell>
        </row>
        <row r="4">
          <cell r="A4" t="str">
            <v>Абдували Уулу Амангельди</v>
          </cell>
          <cell r="B4"/>
          <cell r="C4"/>
          <cell r="D4" t="str">
            <v>Должник</v>
          </cell>
          <cell r="E4">
            <v>0</v>
          </cell>
          <cell r="F4" t="str">
            <v>Осторожно</v>
          </cell>
          <cell r="G4" t="str">
            <v>Не сдал 1 раскосину с лессов и 1 соединение - сдал</v>
          </cell>
        </row>
        <row r="5">
          <cell r="A5" t="str">
            <v>Абдулбакиев Абдурахимжан Шайхизунунович</v>
          </cell>
          <cell r="B5"/>
          <cell r="C5"/>
          <cell r="D5" t="str">
            <v>Должник</v>
          </cell>
          <cell r="E5"/>
          <cell r="F5" t="str">
            <v>Осторожно</v>
          </cell>
          <cell r="G5" t="str">
            <v>Сломал Шину на цепной пиле стоимостью 2500сом не оплатил</v>
          </cell>
        </row>
        <row r="6">
          <cell r="A6" t="str">
            <v>Аблаев Куандык Джаныбекович</v>
          </cell>
          <cell r="B6" t="str">
            <v>Пишпек</v>
          </cell>
          <cell r="C6"/>
          <cell r="D6" t="str">
            <v>Должник</v>
          </cell>
          <cell r="E6">
            <v>4000</v>
          </cell>
          <cell r="F6" t="str">
            <v>Нерасчитались</v>
          </cell>
          <cell r="G6" t="str">
            <v>Сдали но не рассчитались</v>
          </cell>
        </row>
        <row r="7">
          <cell r="A7" t="str">
            <v>Абсаматов Бакытбек Талантбекович</v>
          </cell>
          <cell r="B7"/>
          <cell r="C7" t="str">
            <v>НЕВЫДАВАТЬ</v>
          </cell>
          <cell r="D7" t="str">
            <v>Должник</v>
          </cell>
          <cell r="E7">
            <v>13000</v>
          </cell>
          <cell r="F7" t="str">
            <v>Нерасчитались</v>
          </cell>
          <cell r="G7" t="str">
            <v>Через милицию Забрали Оборудование</v>
          </cell>
        </row>
        <row r="8">
          <cell r="A8" t="str">
            <v>Адилходжаев Авазбек Тажимаматович</v>
          </cell>
          <cell r="B8"/>
          <cell r="C8"/>
          <cell r="D8" t="str">
            <v>Должник</v>
          </cell>
          <cell r="E8">
            <v>6400</v>
          </cell>
          <cell r="F8" t="str">
            <v>Нерасчитались</v>
          </cell>
          <cell r="G8" t="str">
            <v>Попользовался но не оплатил Не выдавать</v>
          </cell>
        </row>
        <row r="9">
          <cell r="A9" t="str">
            <v>Адылбек Кызы Жылдыз</v>
          </cell>
          <cell r="B9" t="str">
            <v>Пишпек</v>
          </cell>
          <cell r="C9"/>
          <cell r="D9" t="str">
            <v>Должник</v>
          </cell>
          <cell r="E9"/>
          <cell r="F9" t="str">
            <v>Расчиталась</v>
          </cell>
          <cell r="G9" t="str">
            <v>Тянула Резину 164 суток рассчитался после обращения в милицию</v>
          </cell>
        </row>
        <row r="10">
          <cell r="A10" t="str">
            <v>Айтмурзаев Кемел Азизович</v>
          </cell>
          <cell r="B10"/>
          <cell r="C10"/>
          <cell r="D10" t="str">
            <v>Должник</v>
          </cell>
          <cell r="E10"/>
          <cell r="F10" t="str">
            <v>Осторожно</v>
          </cell>
          <cell r="G10" t="str">
            <v>Взяли оборудование Попользовались сожгли двигатель булаву не оплатили и пропали.</v>
          </cell>
        </row>
        <row r="11">
          <cell r="A11" t="str">
            <v>Акматалиев Азамат Медетбекович</v>
          </cell>
          <cell r="B11"/>
          <cell r="C11"/>
          <cell r="D11" t="str">
            <v>Должник</v>
          </cell>
          <cell r="E11">
            <v>2500</v>
          </cell>
          <cell r="F11" t="str">
            <v>Нерасчитался</v>
          </cell>
          <cell r="G11" t="str">
            <v>Долг за аренду углореза 2500сом</v>
          </cell>
        </row>
        <row r="12">
          <cell r="A12" t="str">
            <v>Акматалиев Султан Кулукбекович</v>
          </cell>
          <cell r="B12" t="str">
            <v>Пишпек</v>
          </cell>
          <cell r="C12"/>
          <cell r="D12" t="str">
            <v>Должник</v>
          </cell>
          <cell r="E12">
            <v>13000</v>
          </cell>
          <cell r="F12" t="str">
            <v>Нерасчитался</v>
          </cell>
          <cell r="G12" t="str">
            <v>Попользовался но не оплатил Не выдавать</v>
          </cell>
        </row>
        <row r="13">
          <cell r="A13" t="str">
            <v xml:space="preserve">Акматов Иманбек Насирбекович </v>
          </cell>
          <cell r="B13" t="str">
            <v>Пишпек</v>
          </cell>
          <cell r="C13"/>
          <cell r="D13" t="str">
            <v>Должник</v>
          </cell>
          <cell r="E13">
            <v>3100</v>
          </cell>
          <cell r="F13" t="str">
            <v>Нерасчитался</v>
          </cell>
          <cell r="G13" t="str">
            <v>Попользовался но не оплатил не сдал одну раскосину от лесов</v>
          </cell>
        </row>
        <row r="14">
          <cell r="A14" t="str">
            <v>Акынгожоев Азат Желганиевич</v>
          </cell>
          <cell r="B14" t="str">
            <v>В СУДЕ</v>
          </cell>
          <cell r="C14" t="str">
            <v>НЕВЫДАВАТЬ</v>
          </cell>
          <cell r="D14" t="str">
            <v>Должник</v>
          </cell>
          <cell r="E14"/>
          <cell r="F14" t="str">
            <v>Нерасчитался</v>
          </cell>
          <cell r="G14" t="str">
            <v>НЕВЫДАВАТЬ не сдал оборудование</v>
          </cell>
        </row>
        <row r="15">
          <cell r="A15" t="str">
            <v xml:space="preserve">Алыбаев Айдин Козуматович </v>
          </cell>
          <cell r="B15"/>
          <cell r="C15"/>
          <cell r="D15" t="str">
            <v>Должник</v>
          </cell>
          <cell r="E15"/>
          <cell r="F15" t="str">
            <v>Рассчитался</v>
          </cell>
          <cell r="G15" t="str">
            <v>Тянул Резину 61 сутки рассчитался после обращения в милицию</v>
          </cell>
        </row>
        <row r="16">
          <cell r="A16" t="str">
            <v>Алымбаев Медербек Асыранкулович</v>
          </cell>
          <cell r="B16"/>
          <cell r="C16"/>
          <cell r="D16" t="str">
            <v>Должник</v>
          </cell>
          <cell r="E16"/>
          <cell r="F16" t="str">
            <v>Осторожно</v>
          </cell>
          <cell r="G16" t="str">
            <v>Геморройный клиент. Считать без скидок. Брать и депозит и стоимость запланированного проката</v>
          </cell>
        </row>
        <row r="17">
          <cell r="A17" t="str">
            <v>Алымкулов Кубанбек Качкынович</v>
          </cell>
          <cell r="B17" t="str">
            <v>ВНИМАНИЕ!!!</v>
          </cell>
          <cell r="C17" t="str">
            <v>НЕВЫДАВАТЬ</v>
          </cell>
          <cell r="D17" t="str">
            <v>ДОЛБОЕБ</v>
          </cell>
          <cell r="E17">
            <v>9400</v>
          </cell>
          <cell r="F17" t="str">
            <v>Нерасчитался</v>
          </cell>
          <cell r="G17" t="str">
            <v>Оборудование сдал. Долг за аренду компрессора бетономешалку.</v>
          </cell>
        </row>
        <row r="18">
          <cell r="A18" t="str">
            <v xml:space="preserve">Арапчикеев Бахтияр Сабурович </v>
          </cell>
          <cell r="B18" t="str">
            <v>В СУДЕ</v>
          </cell>
          <cell r="C18" t="str">
            <v>НЕВЫДАВАТЬ</v>
          </cell>
          <cell r="D18" t="str">
            <v>Должник</v>
          </cell>
          <cell r="E18"/>
          <cell r="F18" t="str">
            <v>Нерасчитался</v>
          </cell>
          <cell r="G18" t="str">
            <v>НЕВЫДАВАТЬ не сдал оборудование</v>
          </cell>
        </row>
        <row r="19">
          <cell r="A19" t="str">
            <v>Арлиев Анвар Нурмухамедович</v>
          </cell>
          <cell r="B19"/>
          <cell r="C19"/>
          <cell r="D19" t="str">
            <v>Должник</v>
          </cell>
          <cell r="E19"/>
          <cell r="F19" t="str">
            <v>Осторожно</v>
          </cell>
          <cell r="G19" t="str">
            <v>Взял оборудование протянул с оплатой 4 месяца</v>
          </cell>
        </row>
        <row r="20">
          <cell r="A20" t="str">
            <v>Асанкул уулу Жумабек</v>
          </cell>
          <cell r="B20"/>
          <cell r="C20"/>
          <cell r="D20" t="str">
            <v>Должник</v>
          </cell>
          <cell r="E20"/>
          <cell r="F20" t="str">
            <v>Осторожно</v>
          </cell>
          <cell r="G20" t="str">
            <v>Взял трамбовку с горем пополам оплатил через 4 месяца</v>
          </cell>
        </row>
        <row r="21">
          <cell r="A21" t="str">
            <v>Асанов Аскатбек Кубанычбекович</v>
          </cell>
          <cell r="B21"/>
          <cell r="C21"/>
          <cell r="D21" t="str">
            <v>Долбаеб</v>
          </cell>
          <cell r="E21"/>
          <cell r="F21" t="str">
            <v>Осторожно</v>
          </cell>
          <cell r="G21" t="str">
            <v>Геморройный клиент. Считать без скидок. Брать и депозит и стоимость запланированного проката</v>
          </cell>
        </row>
        <row r="22">
          <cell r="A22" t="str">
            <v>Асанов Омурбек Дубанбекович</v>
          </cell>
          <cell r="B22" t="str">
            <v>Пишпек</v>
          </cell>
          <cell r="C22" t="str">
            <v>НЕВЫДАВАТЬ</v>
          </cell>
          <cell r="D22" t="str">
            <v>Должник</v>
          </cell>
          <cell r="E22">
            <v>50700</v>
          </cell>
          <cell r="F22" t="str">
            <v>Нерасчитался</v>
          </cell>
          <cell r="G22" t="str">
            <v>Попользовался но не оплатил Не выдавать</v>
          </cell>
        </row>
        <row r="23">
          <cell r="A23" t="str">
            <v>Астанов Дильшат Аскаралиевич</v>
          </cell>
          <cell r="B23"/>
          <cell r="C23" t="str">
            <v>НЕВЫДАВАТЬ</v>
          </cell>
          <cell r="D23" t="str">
            <v>Долбаеб</v>
          </cell>
          <cell r="E23"/>
          <cell r="F23" t="str">
            <v>Осторожно</v>
          </cell>
          <cell r="G23" t="str">
            <v xml:space="preserve">НЕВЫДАВАТЬ </v>
          </cell>
        </row>
        <row r="24">
          <cell r="A24" t="str">
            <v xml:space="preserve">Атабеков Бекнур Жанышбекович </v>
          </cell>
          <cell r="B24" t="str">
            <v>В СУДЕ</v>
          </cell>
          <cell r="C24" t="str">
            <v>НЕВЫДАВАТЬ</v>
          </cell>
          <cell r="D24" t="str">
            <v>Должник</v>
          </cell>
          <cell r="E24"/>
          <cell r="F24" t="str">
            <v>Нерасчитался</v>
          </cell>
          <cell r="G24" t="str">
            <v>НЕВЫДАВАТЬ  Находится в розыске</v>
          </cell>
        </row>
        <row r="25">
          <cell r="A25" t="str">
            <v>Атагулов Эрлан Керимович</v>
          </cell>
          <cell r="B25"/>
          <cell r="C25"/>
          <cell r="D25" t="str">
            <v>Должник</v>
          </cell>
          <cell r="E25">
            <v>0</v>
          </cell>
          <cell r="F25" t="str">
            <v>Рассчитался</v>
          </cell>
          <cell r="G25" t="str">
            <v>Попользовался но не оплатил</v>
          </cell>
        </row>
        <row r="26">
          <cell r="A26" t="str">
            <v>Атаханов Тимур Равкатович</v>
          </cell>
          <cell r="B26" t="str">
            <v>ВНИМАНИЕ!!!</v>
          </cell>
          <cell r="C26" t="str">
            <v>НЕВЫДАВАТЬ</v>
          </cell>
          <cell r="D26" t="str">
            <v>МОШЕННИК</v>
          </cell>
          <cell r="E26"/>
          <cell r="F26" t="str">
            <v>ОСТОРОЖНО</v>
          </cell>
          <cell r="G26" t="str">
            <v>Не выдавать Мошенник не иметь ни каких дел</v>
          </cell>
        </row>
        <row r="27">
          <cell r="A27" t="str">
            <v>Ахмедов Токталы Хамидович</v>
          </cell>
          <cell r="B27"/>
          <cell r="C27"/>
          <cell r="D27" t="str">
            <v>Должник</v>
          </cell>
          <cell r="E27">
            <v>0</v>
          </cell>
          <cell r="F27" t="str">
            <v>Рассчитался</v>
          </cell>
          <cell r="G27" t="str">
            <v>Только под полную стоимость оборудования</v>
          </cell>
        </row>
        <row r="28">
          <cell r="A28" t="str">
            <v>Ашимов Евгений Рахифович</v>
          </cell>
          <cell r="B28"/>
          <cell r="C28"/>
          <cell r="D28" t="str">
            <v>Должник</v>
          </cell>
          <cell r="E28">
            <v>0</v>
          </cell>
          <cell r="F28" t="str">
            <v>Рассчитались</v>
          </cell>
          <cell r="G28" t="str">
            <v>Руководитель Ильина Светлана рассчитываются уже год</v>
          </cell>
        </row>
        <row r="29">
          <cell r="A29" t="str">
            <v>Байгазиев Адилет Айтбекович</v>
          </cell>
          <cell r="B29"/>
          <cell r="C29"/>
          <cell r="D29" t="str">
            <v>Должник</v>
          </cell>
          <cell r="E29"/>
          <cell r="F29" t="str">
            <v>Нерасчитался</v>
          </cell>
          <cell r="G29" t="str">
            <v>Взял леса 30 июля 2019  пропал до 28 декабря 2019г не оплатил стоимость проката оборудование вернул.</v>
          </cell>
        </row>
        <row r="30">
          <cell r="A30" t="str">
            <v>Байзаков Бексултан Каарбаевич</v>
          </cell>
          <cell r="B30" t="str">
            <v>Пишпек</v>
          </cell>
          <cell r="C30" t="str">
            <v>НЕВЫДАВАТЬ</v>
          </cell>
          <cell r="D30" t="str">
            <v>Должник</v>
          </cell>
          <cell r="E30"/>
          <cell r="F30" t="str">
            <v>Нерасчитался</v>
          </cell>
          <cell r="G30" t="str">
            <v>НЕВЫДАВАТЬ не сдал оборудование. Взял бетономешалку и пропал</v>
          </cell>
        </row>
        <row r="31">
          <cell r="A31" t="str">
            <v>Байсабаев Азим Джолдошевич</v>
          </cell>
          <cell r="B31"/>
          <cell r="C31" t="str">
            <v>НЕВЫДАВАТЬ</v>
          </cell>
          <cell r="D31" t="str">
            <v>Должник</v>
          </cell>
          <cell r="E31">
            <v>8000</v>
          </cell>
          <cell r="F31" t="str">
            <v>Нерасчитался</v>
          </cell>
          <cell r="G31" t="str">
            <v xml:space="preserve">НЕВЫДАВАТЬ </v>
          </cell>
        </row>
        <row r="32">
          <cell r="A32" t="str">
            <v>Бакиров Эсен Атабекович</v>
          </cell>
          <cell r="B32"/>
          <cell r="C32" t="str">
            <v>НЕВЫДАВАТЬ</v>
          </cell>
          <cell r="D32" t="str">
            <v>Должник</v>
          </cell>
          <cell r="E32">
            <v>0</v>
          </cell>
          <cell r="F32" t="str">
            <v>Рассчитался</v>
          </cell>
          <cell r="G32" t="str">
            <v>Попользовался но не оплатил</v>
          </cell>
        </row>
        <row r="33">
          <cell r="A33" t="str">
            <v>Бейшеканов Ынтымак Мырзаевич</v>
          </cell>
          <cell r="B33"/>
          <cell r="C33" t="str">
            <v>НЕВЫДАВАТЬ</v>
          </cell>
          <cell r="D33" t="str">
            <v>Должник</v>
          </cell>
          <cell r="E33">
            <v>43400</v>
          </cell>
          <cell r="F33" t="str">
            <v>Нерасчитался</v>
          </cell>
          <cell r="G33" t="str">
            <v>НЕВЫДАВАТЬ не сдал оборудование</v>
          </cell>
        </row>
        <row r="34">
          <cell r="A34" t="str">
            <v>Бейшеналиев Жоодарбек Мухидинович</v>
          </cell>
          <cell r="B34"/>
          <cell r="C34"/>
          <cell r="D34" t="str">
            <v>Должник</v>
          </cell>
          <cell r="E34">
            <v>0</v>
          </cell>
          <cell r="F34" t="str">
            <v>Рассчитался</v>
          </cell>
          <cell r="G34" t="str">
            <v>Сжег двигатель на цепной пиле отказался оплачивать</v>
          </cell>
        </row>
        <row r="35">
          <cell r="A35" t="str">
            <v>Бекботоев Талип Туратович</v>
          </cell>
          <cell r="B35"/>
          <cell r="C35"/>
          <cell r="D35" t="str">
            <v>Должник</v>
          </cell>
          <cell r="E35">
            <v>10450</v>
          </cell>
          <cell r="F35" t="str">
            <v>Рассчитался</v>
          </cell>
          <cell r="G35" t="str">
            <v>Не выдавать. Оплатил через 4 года</v>
          </cell>
        </row>
        <row r="36">
          <cell r="A36" t="str">
            <v>Бообеков Азрет Аскарович</v>
          </cell>
          <cell r="B36"/>
          <cell r="C36"/>
          <cell r="D36" t="str">
            <v>Должник</v>
          </cell>
          <cell r="E36">
            <v>0</v>
          </cell>
          <cell r="F36" t="str">
            <v>Рассчитался</v>
          </cell>
          <cell r="G36" t="str">
            <v>Взял бетономешалку с горем пополам вернули и рассчитались пришлось ехать к ним домой НЕВЫДАВАТЬ</v>
          </cell>
        </row>
        <row r="37">
          <cell r="A37" t="str">
            <v>Борубеков Алмазбек Маляевич</v>
          </cell>
          <cell r="B37"/>
          <cell r="C37"/>
          <cell r="D37" t="str">
            <v>Должник</v>
          </cell>
          <cell r="E37"/>
          <cell r="F37" t="str">
            <v>Расчиталась</v>
          </cell>
          <cell r="G37" t="str">
            <v>Тянул Резину 50 суток рассчитался после занесения в Ч.С. На сайт</v>
          </cell>
        </row>
        <row r="38">
          <cell r="A38" t="str">
            <v>Булекбаев Адилет Касымович</v>
          </cell>
          <cell r="B38"/>
          <cell r="C38"/>
          <cell r="D38" t="str">
            <v>Мозгоеб</v>
          </cell>
          <cell r="E38">
            <v>0</v>
          </cell>
          <cell r="F38" t="str">
            <v>Рассчитался</v>
          </cell>
          <cell r="G38" t="str">
            <v>Мозгоеб Взял отбойник и оплатил только через 3 месяца НЕВЫДОВАТЬ</v>
          </cell>
        </row>
        <row r="39">
          <cell r="A39" t="str">
            <v>Бурханов Шерзодбек Исамединович</v>
          </cell>
          <cell r="B39"/>
          <cell r="C39" t="str">
            <v>НЕВЫДАВАТЬ</v>
          </cell>
          <cell r="D39" t="str">
            <v>Должник</v>
          </cell>
          <cell r="E39">
            <v>0</v>
          </cell>
          <cell r="F39" t="str">
            <v>Рассчитался</v>
          </cell>
          <cell r="G39" t="str">
            <v>Игрок проигрывает инструмент (Расчитались родственники)</v>
          </cell>
        </row>
        <row r="40">
          <cell r="A40" t="str">
            <v>Бутабаев Фарид Шамильевич</v>
          </cell>
          <cell r="B40" t="str">
            <v>Пишпек</v>
          </cell>
          <cell r="C40" t="str">
            <v>НЕВЫДАВАТЬ</v>
          </cell>
          <cell r="D40" t="str">
            <v>Должник</v>
          </cell>
          <cell r="E40">
            <v>24000</v>
          </cell>
          <cell r="F40" t="str">
            <v>Не рассчитался</v>
          </cell>
          <cell r="G40" t="str">
            <v>Брал шлиф маш + болгарку 17.03.2019 ДОЛГ 28000 - 1000 принёс 29,04,2021. 3000 сом 22.04.2024</v>
          </cell>
        </row>
        <row r="41">
          <cell r="A41" t="str">
            <v>Гимранов Эдиль Рамильевич</v>
          </cell>
          <cell r="B41"/>
          <cell r="C41" t="str">
            <v>НЕВЫДАВАТЬ</v>
          </cell>
          <cell r="D41" t="str">
            <v>Должник</v>
          </cell>
          <cell r="E41"/>
          <cell r="F41" t="str">
            <v>Нерасчитался</v>
          </cell>
          <cell r="G41" t="str">
            <v xml:space="preserve">НЕВЫДОВАТЬ Недобросовестный </v>
          </cell>
        </row>
        <row r="42">
          <cell r="A42" t="str">
            <v>Грибинюков Федор Владимирович</v>
          </cell>
          <cell r="B42"/>
          <cell r="C42"/>
          <cell r="D42" t="str">
            <v>Должник</v>
          </cell>
          <cell r="E42"/>
          <cell r="F42" t="str">
            <v>Рассчитался</v>
          </cell>
          <cell r="G42" t="str">
            <v>Тяжелый на оплату</v>
          </cell>
        </row>
        <row r="43">
          <cell r="A43" t="str">
            <v>Губайдулин Рафкат Шамильевич</v>
          </cell>
          <cell r="B43"/>
          <cell r="C43" t="str">
            <v>НЕВЫДАВАТЬ</v>
          </cell>
          <cell r="D43" t="str">
            <v>Должник</v>
          </cell>
          <cell r="E43">
            <v>100000</v>
          </cell>
          <cell r="F43" t="str">
            <v>Нерасчитался</v>
          </cell>
          <cell r="G43" t="str">
            <v>Выиграли суд НЕВЫДАВАТЬ</v>
          </cell>
        </row>
        <row r="44">
          <cell r="A44" t="str">
            <v xml:space="preserve">Даминов Уланбек Надирович </v>
          </cell>
          <cell r="B44" t="str">
            <v>Пишпек</v>
          </cell>
          <cell r="C44"/>
          <cell r="D44" t="str">
            <v>Должник</v>
          </cell>
          <cell r="E44">
            <v>0</v>
          </cell>
          <cell r="F44" t="str">
            <v>Рассчитался</v>
          </cell>
          <cell r="G44" t="str">
            <v>Аккуратно по больше депозит брать</v>
          </cell>
        </row>
        <row r="45">
          <cell r="A45" t="str">
            <v>Джаманкулов Самат Зарылбекович</v>
          </cell>
          <cell r="B45" t="str">
            <v>Лермонтова 68</v>
          </cell>
          <cell r="C45" t="str">
            <v>НЕВЫДАВАТЬ</v>
          </cell>
          <cell r="D45" t="str">
            <v>Должник</v>
          </cell>
          <cell r="E45" t="str">
            <v>НЕВЫДАВАТЬ</v>
          </cell>
          <cell r="F45" t="str">
            <v>Рассчитался</v>
          </cell>
          <cell r="G45" t="str">
            <v>Геморройный клиент. Считать без скидок. Брать и депозит и стоимость запланированного проката</v>
          </cell>
        </row>
        <row r="46">
          <cell r="A46" t="str">
            <v>Джумабаев Руслан Азатбекович</v>
          </cell>
          <cell r="B46"/>
          <cell r="C46" t="str">
            <v>НЕВЫДАВАТЬ</v>
          </cell>
          <cell r="D46" t="str">
            <v>Должник</v>
          </cell>
          <cell r="E46">
            <v>64400</v>
          </cell>
          <cell r="F46" t="str">
            <v>Нерасчитался</v>
          </cell>
          <cell r="G46" t="str">
            <v>НЕВЫДАВАТЬ не сдал оборудование</v>
          </cell>
        </row>
        <row r="47">
          <cell r="A47" t="str">
            <v>Джумашев Марат Дюшенбекович</v>
          </cell>
          <cell r="B47"/>
          <cell r="C47" t="str">
            <v>НЕВЫДАВАТЬ</v>
          </cell>
          <cell r="D47" t="str">
            <v>Должник</v>
          </cell>
          <cell r="E47">
            <v>600</v>
          </cell>
          <cell r="F47" t="str">
            <v>Нерасчитался</v>
          </cell>
          <cell r="G47" t="str">
            <v>НЕВЫДАВАТЬ Взял Лесса протянул с ними 122 суток</v>
          </cell>
        </row>
        <row r="48">
          <cell r="A48" t="str">
            <v>Жакыпов Бакай Кубанычбекович</v>
          </cell>
          <cell r="B48"/>
          <cell r="C48" t="str">
            <v>НЕВЫДАВАТЬ</v>
          </cell>
          <cell r="D48" t="str">
            <v>Должник</v>
          </cell>
          <cell r="E48">
            <v>17900</v>
          </cell>
          <cell r="F48" t="str">
            <v>Рассчитывается</v>
          </cell>
          <cell r="G48" t="str">
            <v>Рассчитывается год выдавать только под полную стоимость</v>
          </cell>
        </row>
        <row r="49">
          <cell r="A49" t="str">
            <v>Жантилеев Замирбек Болотбекович</v>
          </cell>
          <cell r="B49"/>
          <cell r="C49"/>
          <cell r="D49" t="str">
            <v>Должник</v>
          </cell>
          <cell r="E49">
            <v>1600</v>
          </cell>
          <cell r="F49" t="str">
            <v>Нерасчитался</v>
          </cell>
          <cell r="G49" t="str">
            <v>Оформляли на жену, пользовался муж Жантилеев Замирбек Болотбекович</v>
          </cell>
        </row>
        <row r="50">
          <cell r="A50" t="str">
            <v>Жапаров Доолотбек Советбекович</v>
          </cell>
          <cell r="B50"/>
          <cell r="C50"/>
          <cell r="D50" t="str">
            <v>Должник</v>
          </cell>
          <cell r="E50">
            <v>18000</v>
          </cell>
          <cell r="F50" t="str">
            <v>Нерасчитался</v>
          </cell>
          <cell r="G50" t="str">
            <v>Нерасчитался не выдавать только под полную стоимость</v>
          </cell>
        </row>
        <row r="51">
          <cell r="A51"/>
          <cell r="B51"/>
          <cell r="C51"/>
          <cell r="D51"/>
          <cell r="E51"/>
          <cell r="F51"/>
          <cell r="G51"/>
        </row>
        <row r="52">
          <cell r="A52" t="str">
            <v>Женишбеков Рустам Мирланович</v>
          </cell>
          <cell r="B52"/>
          <cell r="C52"/>
          <cell r="D52" t="str">
            <v>Должник</v>
          </cell>
          <cell r="E52"/>
          <cell r="F52" t="str">
            <v>Рассчиталась</v>
          </cell>
          <cell r="G52" t="str">
            <v>Геморройный клиент. Считать без скидок. Брать и депозит и стоимость запланированного проката</v>
          </cell>
        </row>
        <row r="53">
          <cell r="A53" t="str">
            <v xml:space="preserve">Жолдошбекова Нуриза Жолдошбековна </v>
          </cell>
          <cell r="B53"/>
          <cell r="C53"/>
          <cell r="D53" t="str">
            <v>Долбоебка</v>
          </cell>
          <cell r="E53"/>
          <cell r="F53" t="str">
            <v>Рассчиталась</v>
          </cell>
          <cell r="G53" t="str">
            <v>Тянула Резину 17 сутки рассчитался после занесения в Ч.С. На сайт</v>
          </cell>
        </row>
        <row r="54">
          <cell r="A54" t="str">
            <v>Жумабаев Тилек Турсунбекович</v>
          </cell>
          <cell r="B54" t="str">
            <v>Пишпек</v>
          </cell>
          <cell r="C54"/>
          <cell r="D54" t="str">
            <v>Должник</v>
          </cell>
          <cell r="E54"/>
          <cell r="F54" t="str">
            <v>Рассчитался</v>
          </cell>
          <cell r="G54" t="str">
            <v>Рассчитался долго тянул с оплатой</v>
          </cell>
        </row>
        <row r="55">
          <cell r="A55" t="str">
            <v>Жумагазиев Азамат Памирович</v>
          </cell>
          <cell r="B55"/>
          <cell r="C55"/>
          <cell r="D55" t="str">
            <v>Должник</v>
          </cell>
          <cell r="E55">
            <v>0</v>
          </cell>
          <cell r="F55" t="str">
            <v>Рассчиталась</v>
          </cell>
          <cell r="G55" t="str">
            <v xml:space="preserve"> Взял трамбовку попользовался но не оплатил долг 500сом РАСЧИТАЛСЯ 16.12.2020 (Имеет два паспорта оба нового образца)</v>
          </cell>
        </row>
        <row r="56">
          <cell r="A56" t="str">
            <v>Замирбек Уулу Дастан</v>
          </cell>
          <cell r="B56"/>
          <cell r="C56" t="str">
            <v>НЕВЫДАВАТЬ</v>
          </cell>
          <cell r="D56" t="str">
            <v>Должник</v>
          </cell>
          <cell r="E56">
            <v>23600</v>
          </cell>
          <cell r="F56" t="str">
            <v>Нерасчитался</v>
          </cell>
          <cell r="G56" t="str">
            <v>Взял оборудование попользовался сдал и не оплатил</v>
          </cell>
        </row>
        <row r="57">
          <cell r="A57" t="str">
            <v>Замирбеков Талантбек Замирбекович</v>
          </cell>
          <cell r="B57"/>
          <cell r="C57"/>
          <cell r="D57" t="str">
            <v>Должник</v>
          </cell>
          <cell r="E57">
            <v>1500</v>
          </cell>
          <cell r="F57" t="str">
            <v>Нерасчитался</v>
          </cell>
          <cell r="G57" t="str">
            <v>Долбоеб</v>
          </cell>
        </row>
        <row r="58">
          <cell r="A58" t="str">
            <v>Зеленцова Алена Олеговна</v>
          </cell>
          <cell r="B58"/>
          <cell r="C58" t="str">
            <v>НЕВЫДАВАТЬ</v>
          </cell>
          <cell r="D58" t="str">
            <v>Должник</v>
          </cell>
          <cell r="E58"/>
          <cell r="F58" t="str">
            <v>Простил</v>
          </cell>
          <cell r="G58" t="str">
            <v>Не выдавать никогда оборудование только под полную стоимость</v>
          </cell>
        </row>
        <row r="59">
          <cell r="A59" t="str">
            <v>Идрисов Усманджан Тийибитович</v>
          </cell>
          <cell r="B59"/>
          <cell r="C59"/>
          <cell r="D59" t="str">
            <v>Должник</v>
          </cell>
          <cell r="E59">
            <v>33900</v>
          </cell>
          <cell r="F59" t="str">
            <v>Нерасчитался</v>
          </cell>
          <cell r="G59" t="str">
            <v>Не выдавать никогда оборудование только под полную стоимость</v>
          </cell>
        </row>
        <row r="60">
          <cell r="A60" t="str">
            <v>Илешбек Уулу Уран</v>
          </cell>
          <cell r="B60" t="str">
            <v>В СУДЕ</v>
          </cell>
          <cell r="C60" t="str">
            <v>НЕВЫДАВАТЬ</v>
          </cell>
          <cell r="D60" t="str">
            <v>Должник</v>
          </cell>
          <cell r="E60"/>
          <cell r="F60" t="str">
            <v>Нерасчитался</v>
          </cell>
          <cell r="G60" t="str">
            <v>НЕВЫДАВАТЬ не сдал оборудование</v>
          </cell>
        </row>
        <row r="61">
          <cell r="A61" t="str">
            <v xml:space="preserve">Ильинова Светлана Геннадьевна </v>
          </cell>
          <cell r="B61"/>
          <cell r="C61"/>
          <cell r="D61" t="str">
            <v>Должник</v>
          </cell>
          <cell r="E61"/>
          <cell r="F61" t="str">
            <v>Рассчиталась</v>
          </cell>
          <cell r="G61" t="str">
            <v>Рассчитывается год выдавать только под полную стоимость</v>
          </cell>
        </row>
        <row r="62">
          <cell r="A62" t="str">
            <v>Иманалиев Бахтияр Токтобекович</v>
          </cell>
          <cell r="B62"/>
          <cell r="C62" t="str">
            <v>НЕВЫДАВАТЬ</v>
          </cell>
          <cell r="D62" t="str">
            <v>Должник</v>
          </cell>
          <cell r="E62">
            <v>50000</v>
          </cell>
          <cell r="F62" t="str">
            <v>Нерасчитался</v>
          </cell>
          <cell r="G62" t="str">
            <v>Взял оборудование попользовался сдал и не оплатил</v>
          </cell>
        </row>
        <row r="63">
          <cell r="A63" t="str">
            <v xml:space="preserve">Кадырбаев Даирбек Бакытбекович </v>
          </cell>
          <cell r="B63"/>
          <cell r="C63" t="str">
            <v>НЕВЫДАВАТЬ</v>
          </cell>
          <cell r="D63" t="str">
            <v>Должник</v>
          </cell>
          <cell r="E63">
            <v>15000</v>
          </cell>
          <cell r="F63" t="str">
            <v>Нерасчитался</v>
          </cell>
          <cell r="G63" t="str">
            <v xml:space="preserve">С горем пополам через милицию вернули оборудование </v>
          </cell>
        </row>
        <row r="64">
          <cell r="A64" t="str">
            <v>Кадыров Алишер Кадырович</v>
          </cell>
          <cell r="B64"/>
          <cell r="C64"/>
          <cell r="D64" t="str">
            <v>Должник</v>
          </cell>
          <cell r="E64"/>
          <cell r="F64" t="str">
            <v>Рассчитался</v>
          </cell>
          <cell r="G64" t="str">
            <v>Рассчитывается год выдавать только под полную стоимость паспорт</v>
          </cell>
        </row>
        <row r="65">
          <cell r="A65" t="str">
            <v>Кадыров Дильмурат Абдрашитович</v>
          </cell>
          <cell r="B65"/>
          <cell r="C65"/>
          <cell r="D65" t="str">
            <v>Должник</v>
          </cell>
          <cell r="E65">
            <v>800</v>
          </cell>
          <cell r="F65" t="str">
            <v>Нерасчитался</v>
          </cell>
          <cell r="G65" t="str">
            <v>Потеряли ручку от перфоратора</v>
          </cell>
        </row>
        <row r="66">
          <cell r="A66" t="str">
            <v>Капасов Алмаз Жумабекович</v>
          </cell>
          <cell r="B66"/>
          <cell r="C66"/>
          <cell r="D66" t="str">
            <v>Должник</v>
          </cell>
          <cell r="E66">
            <v>2800</v>
          </cell>
          <cell r="F66" t="str">
            <v>Нерасчитался</v>
          </cell>
          <cell r="G66" t="str">
            <v xml:space="preserve">Вернул оборудование  после предсудебки.Аренду не оплатил </v>
          </cell>
        </row>
        <row r="67">
          <cell r="A67" t="str">
            <v>Каримов Нургазы Равшанбекович</v>
          </cell>
          <cell r="B67"/>
          <cell r="C67"/>
          <cell r="D67" t="str">
            <v>Должник</v>
          </cell>
          <cell r="E67">
            <v>0</v>
          </cell>
          <cell r="F67" t="str">
            <v>расчитался</v>
          </cell>
          <cell r="G67" t="str">
            <v>взял перфоратор Кен 14 Дж и буры. на звонки и сообщения не отвечает Оплатил 01.10.2021 4000 сом Долг 1900 сом</v>
          </cell>
        </row>
        <row r="68">
          <cell r="A68" t="str">
            <v>Каршибаев Бердикул Сулайманович</v>
          </cell>
          <cell r="B68"/>
          <cell r="C68"/>
          <cell r="D68" t="str">
            <v>Должник</v>
          </cell>
          <cell r="E68"/>
          <cell r="F68" t="str">
            <v>Рассчитался</v>
          </cell>
          <cell r="G68" t="str">
            <v>Взял генератор 5,5 19.09.2020 Вернули 01.10.2020 не оплатил арендную плату 9000сом</v>
          </cell>
        </row>
        <row r="69">
          <cell r="A69" t="str">
            <v xml:space="preserve">Кенешов Нурбек Мирбекович </v>
          </cell>
          <cell r="B69"/>
          <cell r="C69"/>
          <cell r="D69" t="str">
            <v>Должник</v>
          </cell>
          <cell r="E69">
            <v>10200</v>
          </cell>
          <cell r="F69" t="str">
            <v>Нерасчитался</v>
          </cell>
          <cell r="G69" t="str">
            <v>Долбоеб</v>
          </cell>
        </row>
        <row r="70">
          <cell r="A70" t="str">
            <v xml:space="preserve">Кенжебеков Адилет Кенжебекович </v>
          </cell>
          <cell r="B70"/>
          <cell r="C70"/>
          <cell r="D70" t="str">
            <v>Должник</v>
          </cell>
          <cell r="E70">
            <v>6000</v>
          </cell>
          <cell r="F70" t="str">
            <v>Нерасчитался</v>
          </cell>
          <cell r="G70" t="str">
            <v>ОсОО Келечек Курулуш</v>
          </cell>
        </row>
        <row r="71">
          <cell r="A71" t="str">
            <v>Керимбеков Сапарбек Замирбекович</v>
          </cell>
          <cell r="B71"/>
          <cell r="C71"/>
          <cell r="D71" t="str">
            <v>Должник</v>
          </cell>
          <cell r="E71">
            <v>16000</v>
          </cell>
          <cell r="F71" t="str">
            <v>Нерасчитался</v>
          </cell>
          <cell r="G71" t="str">
            <v>Сожгли пушку тянут резину не оплачивают</v>
          </cell>
        </row>
        <row r="72">
          <cell r="A72" t="str">
            <v>Кожегулов Тимур Бакасович</v>
          </cell>
          <cell r="B72"/>
          <cell r="C72"/>
          <cell r="D72" t="str">
            <v>Должник</v>
          </cell>
          <cell r="E72"/>
          <cell r="F72" t="str">
            <v>Рассчитался</v>
          </cell>
          <cell r="G72" t="str">
            <v>Геморройный клиент Осторожно</v>
          </cell>
        </row>
        <row r="73">
          <cell r="A73" t="str">
            <v>Кожин Сергей Викторович</v>
          </cell>
          <cell r="B73"/>
          <cell r="C73" t="str">
            <v>НЕВЫДАВАТЬ</v>
          </cell>
          <cell r="D73" t="str">
            <v>Должник</v>
          </cell>
          <cell r="E73"/>
          <cell r="F73" t="str">
            <v>Рассчитался</v>
          </cell>
          <cell r="G73" t="str">
            <v>Осторожно постоянно затягивает Под полную стоимость</v>
          </cell>
        </row>
        <row r="74">
          <cell r="A74" t="str">
            <v>Козыбаев Токтасын Тургунбаевич</v>
          </cell>
          <cell r="B74" t="str">
            <v>Пишпек</v>
          </cell>
          <cell r="C74"/>
          <cell r="D74" t="str">
            <v>Должник</v>
          </cell>
          <cell r="E74">
            <v>1500</v>
          </cell>
          <cell r="F74" t="str">
            <v>Нерасчитался</v>
          </cell>
          <cell r="G74" t="str">
            <v>Взял оборудование попользовался сдал и не оплатил</v>
          </cell>
        </row>
        <row r="75">
          <cell r="A75" t="str">
            <v xml:space="preserve">Кокелов Калыс Абаевич </v>
          </cell>
          <cell r="B75"/>
          <cell r="C75"/>
          <cell r="D75" t="str">
            <v>Долбаеб</v>
          </cell>
          <cell r="E75">
            <v>0</v>
          </cell>
          <cell r="F75" t="str">
            <v>Рассчитался</v>
          </cell>
          <cell r="G75" t="str">
            <v>Выдавать оборудование под полную стоимость! тяжелый на отдачу оплаты за аренду.</v>
          </cell>
        </row>
        <row r="76">
          <cell r="A76" t="str">
            <v>Кочорбаев Ислам Амантурович</v>
          </cell>
          <cell r="B76"/>
          <cell r="C76"/>
          <cell r="D76" t="str">
            <v>Должник</v>
          </cell>
          <cell r="E76">
            <v>0</v>
          </cell>
          <cell r="F76" t="str">
            <v>Рассчитался</v>
          </cell>
          <cell r="G76" t="str">
            <v>Взял 18.12.2021 трамбовку пользовался сдал но не оплатил задолженность 9500 сом не берет трубку исчез ОмОО Силк вей</v>
          </cell>
        </row>
        <row r="77">
          <cell r="A77" t="str">
            <v xml:space="preserve">Кудайбердиев Темир Маликович </v>
          </cell>
          <cell r="B77"/>
          <cell r="C77" t="str">
            <v>НЕВЫДАВАТЬ</v>
          </cell>
          <cell r="D77" t="str">
            <v>Должник</v>
          </cell>
          <cell r="E77">
            <v>3000</v>
          </cell>
          <cell r="F77" t="str">
            <v>Нерасчитался</v>
          </cell>
          <cell r="G77" t="str">
            <v>Порвал резину на барабане не оплатил ущерб 3000 сом</v>
          </cell>
        </row>
        <row r="78">
          <cell r="A78" t="str">
            <v>Кузьмичев Игорь Евгеньевич</v>
          </cell>
          <cell r="B78"/>
          <cell r="C78"/>
          <cell r="D78" t="str">
            <v>Должник</v>
          </cell>
          <cell r="E78">
            <v>0</v>
          </cell>
          <cell r="F78" t="str">
            <v>Рассчитался</v>
          </cell>
          <cell r="G78" t="str">
            <v>ОСТОРОЖНО</v>
          </cell>
        </row>
        <row r="79">
          <cell r="A79" t="str">
            <v>Кулсарыков Мирбек Шайлообекович</v>
          </cell>
          <cell r="B79"/>
          <cell r="C79"/>
          <cell r="D79" t="str">
            <v>Должник</v>
          </cell>
          <cell r="E79">
            <v>0</v>
          </cell>
          <cell r="F79" t="str">
            <v>Рассчитался</v>
          </cell>
          <cell r="G79" t="str">
            <v>Рассчитался Селеев</v>
          </cell>
        </row>
        <row r="80">
          <cell r="A80" t="str">
            <v>Кульматов Максат Марсович</v>
          </cell>
          <cell r="B80"/>
          <cell r="C80"/>
          <cell r="D80" t="str">
            <v>Должник</v>
          </cell>
          <cell r="E80">
            <v>0</v>
          </cell>
          <cell r="F80" t="str">
            <v>Рассчитался</v>
          </cell>
          <cell r="G80" t="str">
            <v>Взял компрессор на пишпеке потерялся но потом с горем пополам оплатил после угрозы написания заявление в суд</v>
          </cell>
        </row>
        <row r="81">
          <cell r="A81" t="str">
            <v>Курбанов Эргашбай Тулкинбаевич</v>
          </cell>
          <cell r="B81"/>
          <cell r="C81" t="str">
            <v>НЕВЫДАВАТЬ</v>
          </cell>
          <cell r="D81" t="str">
            <v>Должник</v>
          </cell>
          <cell r="E81">
            <v>21750</v>
          </cell>
          <cell r="F81" t="str">
            <v>Рассчитался</v>
          </cell>
          <cell r="G81" t="str">
            <v xml:space="preserve">НЕВЫДАВАТЬ не сдал оборудование </v>
          </cell>
        </row>
        <row r="82">
          <cell r="A82" t="str">
            <v>Мадаминов Касымжон Кабулжанович</v>
          </cell>
          <cell r="B82"/>
          <cell r="C82" t="str">
            <v>НЕВЫДАВАТЬ</v>
          </cell>
          <cell r="D82" t="str">
            <v>Должник</v>
          </cell>
          <cell r="E82">
            <v>6850</v>
          </cell>
          <cell r="F82" t="str">
            <v>Нерасчитался</v>
          </cell>
          <cell r="G82" t="str">
            <v xml:space="preserve"> Только под полную стоимость Нерасчитался за аренду</v>
          </cell>
        </row>
        <row r="83">
          <cell r="A83" t="str">
            <v>Майлыбашов Баатырбек Азатович</v>
          </cell>
          <cell r="B83"/>
          <cell r="C83" t="str">
            <v>НЕВЫДАВАТЬ</v>
          </cell>
          <cell r="D83" t="str">
            <v>Должник</v>
          </cell>
          <cell r="E83">
            <v>20000</v>
          </cell>
          <cell r="F83" t="str">
            <v>Нерасчитался</v>
          </cell>
          <cell r="G83" t="str">
            <v>НЕВЫДАВАТЬ не сдал оборудование 1 секц лессов не оплатил 20000 сом</v>
          </cell>
        </row>
        <row r="84">
          <cell r="A84" t="str">
            <v xml:space="preserve">Мамажанов Насипбек Мамажанович </v>
          </cell>
          <cell r="B84" t="str">
            <v>В СУДЕ</v>
          </cell>
          <cell r="C84" t="str">
            <v>НЕВЫДАВАТЬ</v>
          </cell>
          <cell r="D84" t="str">
            <v>Должник</v>
          </cell>
          <cell r="E84"/>
          <cell r="F84" t="str">
            <v>Нерасчитался</v>
          </cell>
          <cell r="G84" t="str">
            <v>НЕВЫДАВАТЬ не сдал оборудование</v>
          </cell>
        </row>
        <row r="85">
          <cell r="A85" t="str">
            <v xml:space="preserve">Мамбеков Турарбек Кадырбекович </v>
          </cell>
          <cell r="B85" t="str">
            <v>В СУДЕ</v>
          </cell>
          <cell r="C85" t="str">
            <v>НЕВЫДАВАТЬ</v>
          </cell>
          <cell r="D85" t="str">
            <v>Должник</v>
          </cell>
          <cell r="E85"/>
          <cell r="F85" t="str">
            <v>Нерасчитался</v>
          </cell>
          <cell r="G85" t="str">
            <v>НЕВЫДАВАТЬ не сдал оборудование</v>
          </cell>
        </row>
        <row r="86">
          <cell r="A86" t="str">
            <v>Мамбетов Урмат Аманалиевич</v>
          </cell>
          <cell r="B86" t="str">
            <v>Пишпек</v>
          </cell>
          <cell r="C86" t="str">
            <v>НЕВЫДАВАТЬ</v>
          </cell>
          <cell r="D86" t="str">
            <v>Должник</v>
          </cell>
          <cell r="E86"/>
          <cell r="F86" t="str">
            <v>Нерасчитался</v>
          </cell>
          <cell r="G86" t="str">
            <v>НЕВЫДАВАТЬ не сдал оборудование (Взял компрессор 1 поршневой и пропал)</v>
          </cell>
        </row>
        <row r="87">
          <cell r="A87" t="str">
            <v>Манасбек уулу Айбек</v>
          </cell>
          <cell r="B87"/>
          <cell r="C87"/>
          <cell r="D87" t="str">
            <v>Должник</v>
          </cell>
          <cell r="E87">
            <v>40000</v>
          </cell>
          <cell r="F87" t="str">
            <v>Нерасчитался</v>
          </cell>
          <cell r="G87" t="str">
            <v>Вернул еще не оплатил</v>
          </cell>
        </row>
        <row r="88">
          <cell r="A88" t="str">
            <v>Маркашев Азизбек Акилбек Угли</v>
          </cell>
          <cell r="B88"/>
          <cell r="C88" t="str">
            <v>НЕВЫДАВАТЬ</v>
          </cell>
          <cell r="D88" t="str">
            <v>Должник</v>
          </cell>
          <cell r="E88">
            <v>25000</v>
          </cell>
          <cell r="F88" t="str">
            <v>Нерасчитался</v>
          </cell>
          <cell r="G88" t="str">
            <v>Сдал Озчелик.Не рассчитался.</v>
          </cell>
        </row>
        <row r="89">
          <cell r="A89" t="str">
            <v>Маркашев Жонибек Акилбек Угли</v>
          </cell>
          <cell r="B89"/>
          <cell r="C89" t="str">
            <v>НЕВЫДАВАТЬ</v>
          </cell>
          <cell r="D89" t="str">
            <v>Должник</v>
          </cell>
          <cell r="E89">
            <v>0</v>
          </cell>
          <cell r="F89" t="str">
            <v>Оплатил</v>
          </cell>
          <cell r="G89" t="str">
            <v>Не выдавать</v>
          </cell>
        </row>
        <row r="90">
          <cell r="A90" t="str">
            <v>Махмудали уулу Жумаахмад</v>
          </cell>
          <cell r="B90"/>
          <cell r="C90" t="str">
            <v>НЕВЫДАВАТЬ</v>
          </cell>
          <cell r="D90" t="str">
            <v>Должник</v>
          </cell>
          <cell r="E90">
            <v>9100</v>
          </cell>
          <cell r="F90" t="str">
            <v>Нерасчитался</v>
          </cell>
          <cell r="G90" t="str">
            <v>НЕВЫДАВАТЬ  Только под полную стоимость Нерасчитался за аренду</v>
          </cell>
        </row>
        <row r="91">
          <cell r="A91" t="str">
            <v>Махмудов Сардор Худойбердиевич</v>
          </cell>
          <cell r="B91" t="str">
            <v>В СУДЕ</v>
          </cell>
          <cell r="C91" t="str">
            <v>НЕВЫДАВАТЬ</v>
          </cell>
          <cell r="D91" t="str">
            <v>Должник</v>
          </cell>
          <cell r="E91"/>
          <cell r="F91" t="str">
            <v>Нерасчитался</v>
          </cell>
          <cell r="G91" t="str">
            <v>НЕВЫДАВАТЬ не сдал оборудование</v>
          </cell>
        </row>
        <row r="92">
          <cell r="A92" t="str">
            <v xml:space="preserve">Махмутов Умаржан Джумахунович </v>
          </cell>
          <cell r="B92"/>
          <cell r="C92"/>
          <cell r="D92" t="str">
            <v>Должник</v>
          </cell>
          <cell r="E92">
            <v>0</v>
          </cell>
          <cell r="F92" t="str">
            <v>Оплатил</v>
          </cell>
          <cell r="G92" t="str">
            <v>Взял с горем пополам вернул через 69 дней не оплатил тянул 161 день ОПЛАТИЛ 13.03.2020</v>
          </cell>
        </row>
        <row r="93">
          <cell r="A93" t="str">
            <v xml:space="preserve">Меербек кызы Гулкаакы </v>
          </cell>
          <cell r="B93"/>
          <cell r="C93"/>
          <cell r="D93" t="str">
            <v>Должник</v>
          </cell>
          <cell r="E93">
            <v>2000</v>
          </cell>
          <cell r="F93"/>
          <cell r="G93" t="str">
            <v xml:space="preserve">оборудование вернула обещала заплатить пропала </v>
          </cell>
        </row>
        <row r="94">
          <cell r="A94" t="str">
            <v xml:space="preserve">Мирланов Арген Мирланович </v>
          </cell>
          <cell r="B94"/>
          <cell r="C94"/>
          <cell r="D94" t="str">
            <v>ГАНДОН</v>
          </cell>
          <cell r="E94">
            <v>1000</v>
          </cell>
          <cell r="F94" t="str">
            <v>Нерасчитался</v>
          </cell>
          <cell r="G94" t="str">
            <v>Угандошил сварку пережог всю изоляцию на проводах ГАНДОНВ зял оборудование Компрессор 2 п попользовался и не оплатил долг 1000 сом пропал трубку не берет</v>
          </cell>
        </row>
        <row r="95">
          <cell r="A95" t="str">
            <v>Мифтахидинов Руслан</v>
          </cell>
          <cell r="B95" t="str">
            <v>В СУДЕ</v>
          </cell>
          <cell r="C95" t="str">
            <v>НЕВЫДАВАТЬ</v>
          </cell>
          <cell r="D95" t="str">
            <v>Должник</v>
          </cell>
          <cell r="E95"/>
          <cell r="F95" t="str">
            <v>Нерасчитался</v>
          </cell>
          <cell r="G95" t="str">
            <v>НЕВЫДАВАТЬ не сдал оборудование</v>
          </cell>
        </row>
        <row r="96">
          <cell r="A96" t="str">
            <v>Мифтахитдинов Руслан Мунибович</v>
          </cell>
          <cell r="B96" t="str">
            <v>В СУДЕ</v>
          </cell>
          <cell r="C96" t="str">
            <v>НЕВЫДАВАТЬ</v>
          </cell>
          <cell r="D96" t="str">
            <v>Должник</v>
          </cell>
          <cell r="E96"/>
          <cell r="F96" t="str">
            <v>Нерасчитался</v>
          </cell>
          <cell r="G96" t="str">
            <v>НЕВЫДАВАТЬ не сдал оборудование</v>
          </cell>
        </row>
        <row r="97">
          <cell r="A97" t="str">
            <v>Муканов Ырысбек Муратович</v>
          </cell>
          <cell r="B97" t="str">
            <v>Пишпек</v>
          </cell>
          <cell r="C97"/>
          <cell r="D97" t="str">
            <v>Должник</v>
          </cell>
          <cell r="E97">
            <v>3600</v>
          </cell>
          <cell r="F97" t="str">
            <v>Нерасчитался</v>
          </cell>
          <cell r="G97" t="str">
            <v>Взял оборудование попользовался сдал и не оплатил</v>
          </cell>
        </row>
        <row r="98">
          <cell r="A98" t="str">
            <v>Муканова Кундуз Тынычбековна</v>
          </cell>
          <cell r="B98"/>
          <cell r="C98" t="str">
            <v>НЕВЫДАВАТЬ</v>
          </cell>
          <cell r="D98" t="str">
            <v>Должник</v>
          </cell>
          <cell r="E98"/>
          <cell r="F98"/>
          <cell r="G98" t="str">
            <v>Не выдавать</v>
          </cell>
        </row>
        <row r="99">
          <cell r="A99" t="str">
            <v>Мураталиев Айкол Улукбекович</v>
          </cell>
          <cell r="B99"/>
          <cell r="C99" t="str">
            <v>НЕВЫДАВАТЬ</v>
          </cell>
          <cell r="D99" t="str">
            <v>Должник</v>
          </cell>
          <cell r="E99">
            <v>4350</v>
          </cell>
          <cell r="F99" t="str">
            <v>РАСЧИТАЛСЯ</v>
          </cell>
          <cell r="G99" t="str">
            <v>Взял оборудование попользовался сдал и не оплатил</v>
          </cell>
        </row>
        <row r="100">
          <cell r="A100" t="str">
            <v xml:space="preserve">Мухаметшин Рустам Ришатович </v>
          </cell>
          <cell r="B100" t="str">
            <v>В СУДЕ</v>
          </cell>
          <cell r="C100" t="str">
            <v>НЕВЫДАВАТЬ</v>
          </cell>
          <cell r="D100" t="str">
            <v>Должник</v>
          </cell>
          <cell r="E100"/>
          <cell r="F100" t="str">
            <v>РАСЧИТАЛСЯ</v>
          </cell>
          <cell r="G100" t="str">
            <v>НЕВЫДАВАТЬ не сдал оборудование Оплатил 80000 сом</v>
          </cell>
        </row>
        <row r="101">
          <cell r="A101"/>
          <cell r="B101"/>
          <cell r="C101"/>
          <cell r="D101"/>
          <cell r="E101"/>
          <cell r="F101"/>
          <cell r="G101"/>
        </row>
        <row r="102">
          <cell r="A102" t="str">
            <v>Набийбек уулу Азият</v>
          </cell>
          <cell r="B102"/>
          <cell r="C102"/>
          <cell r="D102" t="str">
            <v>Должник</v>
          </cell>
          <cell r="E102">
            <v>23000</v>
          </cell>
          <cell r="F102" t="str">
            <v>РАСЧИТАЛСЯ</v>
          </cell>
          <cell r="G102" t="str">
            <v>Не оплатил аренду в Кок-Жаре трамбовки 1ф. Трубку не берет, на сообщения не отвечает ОПЛАТИЛ 23000</v>
          </cell>
        </row>
        <row r="103">
          <cell r="A103" t="str">
            <v xml:space="preserve">Назарбек Уулу Кумарбек </v>
          </cell>
          <cell r="B103"/>
          <cell r="C103" t="str">
            <v>НЕВЫДАВАТЬ</v>
          </cell>
          <cell r="D103" t="str">
            <v>Должник</v>
          </cell>
          <cell r="E103">
            <v>40300</v>
          </cell>
          <cell r="F103" t="str">
            <v>Нерасчитался</v>
          </cell>
          <cell r="G103" t="str">
            <v>НЕВЫДАВАТЬ не сдал оборудование</v>
          </cell>
        </row>
        <row r="104">
          <cell r="A104" t="str">
            <v>Наматов Болот Курманбекович</v>
          </cell>
          <cell r="B104" t="str">
            <v>В СУДЕ</v>
          </cell>
          <cell r="C104" t="str">
            <v>Пишпек</v>
          </cell>
          <cell r="D104" t="str">
            <v>Должник</v>
          </cell>
          <cell r="E104">
            <v>48500</v>
          </cell>
          <cell r="F104" t="str">
            <v>Нерасчитался</v>
          </cell>
          <cell r="G104" t="str">
            <v xml:space="preserve">29.09.2021 взял в аренду сварку пит по копии паспорта,номер телефона не существует, адрес липовый. на 05.01.2021 долг 48500 + сварка пит </v>
          </cell>
        </row>
        <row r="105">
          <cell r="A105" t="str">
            <v>Насирдинов Бакыт Казыгулович</v>
          </cell>
          <cell r="B105"/>
          <cell r="C105"/>
          <cell r="D105" t="str">
            <v>Должник</v>
          </cell>
          <cell r="E105"/>
          <cell r="F105" t="str">
            <v>РАСЧИТАЛСЯ</v>
          </cell>
          <cell r="G105" t="str">
            <v>Рассчитывается год выдавать только под полную стоимость+паспорт</v>
          </cell>
        </row>
        <row r="106">
          <cell r="A106" t="str">
            <v>Насирдинова Назима Рыстабаровна</v>
          </cell>
          <cell r="B106"/>
          <cell r="C106"/>
          <cell r="D106" t="str">
            <v>Должник</v>
          </cell>
          <cell r="E106">
            <v>1600</v>
          </cell>
          <cell r="F106" t="str">
            <v>Нерасчитался</v>
          </cell>
          <cell r="G106" t="str">
            <v>Оформляли на жену, пользовался муж Жантилеев Замирбек Болотбекович</v>
          </cell>
        </row>
        <row r="107">
          <cell r="A107" t="str">
            <v>Новоселов Дмитрий Александрович</v>
          </cell>
          <cell r="B107"/>
          <cell r="C107" t="str">
            <v>НЕВЫДАВАТЬ</v>
          </cell>
          <cell r="D107" t="str">
            <v>Должник</v>
          </cell>
          <cell r="E107">
            <v>32100</v>
          </cell>
          <cell r="F107" t="str">
            <v>Нерасчитался</v>
          </cell>
          <cell r="G107" t="str">
            <v>НЕВЫДАВАТЬ не сдал оборудование</v>
          </cell>
        </row>
        <row r="108">
          <cell r="A108" t="str">
            <v>Нурбек уулу Азамат</v>
          </cell>
          <cell r="B108"/>
          <cell r="C108"/>
          <cell r="D108" t="str">
            <v>Должник</v>
          </cell>
          <cell r="E108">
            <v>0</v>
          </cell>
          <cell r="F108" t="str">
            <v>РАСЧИТАЛСЯ</v>
          </cell>
          <cell r="G108" t="str">
            <v>Взял оборудование не оплатил АРЕНДУ ДОЛГ 1100 сом. ДОЛГ ЗАКРЫТ.</v>
          </cell>
        </row>
        <row r="109">
          <cell r="A109" t="str">
            <v>Нусупов Жоодарбек Алымкулович</v>
          </cell>
          <cell r="B109" t="str">
            <v>Пишпек</v>
          </cell>
          <cell r="C109"/>
          <cell r="D109" t="str">
            <v>Должник</v>
          </cell>
          <cell r="E109">
            <v>1500</v>
          </cell>
          <cell r="F109"/>
          <cell r="G109" t="str">
            <v>Был постояник хороший клиент. Брал бензиновый кузнечик постоянно в итоге сломал глушитель и пропал.</v>
          </cell>
        </row>
        <row r="110">
          <cell r="A110" t="str">
            <v>Олейник Данил Алесандрович</v>
          </cell>
          <cell r="B110"/>
          <cell r="C110"/>
          <cell r="D110" t="str">
            <v>Должник</v>
          </cell>
          <cell r="E110"/>
          <cell r="F110" t="str">
            <v>Рассчитался</v>
          </cell>
          <cell r="G110" t="str">
            <v>Очень долго</v>
          </cell>
        </row>
        <row r="111">
          <cell r="A111" t="str">
            <v>Омурбек уулу Каныбек</v>
          </cell>
          <cell r="B111"/>
          <cell r="C111"/>
          <cell r="D111" t="str">
            <v>Должник</v>
          </cell>
          <cell r="E111">
            <v>0</v>
          </cell>
          <cell r="F111" t="str">
            <v>Простил</v>
          </cell>
          <cell r="G111" t="str">
            <v>Взял оборудование попользовался сдал и не оплатил</v>
          </cell>
        </row>
        <row r="112">
          <cell r="A112" t="str">
            <v>Ормошов Самат Турусбекович</v>
          </cell>
          <cell r="B112"/>
          <cell r="C112"/>
          <cell r="D112" t="str">
            <v>Должник</v>
          </cell>
          <cell r="E112">
            <v>1500</v>
          </cell>
          <cell r="F112" t="str">
            <v>Нерасчитался</v>
          </cell>
          <cell r="G112" t="str">
            <v>Взял трамбовку на сутки попользовался и не оплатил долг 1500сом</v>
          </cell>
        </row>
        <row r="113">
          <cell r="A113" t="str">
            <v>Орозонов Улан  Абдылашимович</v>
          </cell>
          <cell r="B113" t="str">
            <v>Пишпек</v>
          </cell>
          <cell r="C113"/>
          <cell r="D113" t="str">
            <v>Должник</v>
          </cell>
          <cell r="E113">
            <v>4200</v>
          </cell>
          <cell r="F113" t="str">
            <v xml:space="preserve">Нерасчитался </v>
          </cell>
          <cell r="G113" t="str">
            <v>Попользовался не оплатил, оборудование сдал на связь не выходит. Не выдавать</v>
          </cell>
        </row>
        <row r="114">
          <cell r="A114" t="str">
            <v>Осмонов Улан Эркинович</v>
          </cell>
          <cell r="B114" t="str">
            <v>Хуй понять Чей</v>
          </cell>
          <cell r="C114"/>
          <cell r="D114" t="str">
            <v>Должник</v>
          </cell>
          <cell r="E114"/>
          <cell r="F114"/>
          <cell r="G114"/>
        </row>
        <row r="115">
          <cell r="A115" t="str">
            <v>ОсОО Келечек Курулуш</v>
          </cell>
          <cell r="B115"/>
          <cell r="C115"/>
          <cell r="D115" t="str">
            <v>Должник</v>
          </cell>
          <cell r="E115">
            <v>6000</v>
          </cell>
          <cell r="F115" t="str">
            <v xml:space="preserve">Нерасчитался </v>
          </cell>
          <cell r="G115" t="str">
            <v>Не оплатили 6000 сом без объяснения и переговоров</v>
          </cell>
        </row>
        <row r="116">
          <cell r="A116" t="str">
            <v xml:space="preserve">ОсОО Мэргалайн </v>
          </cell>
          <cell r="B116"/>
          <cell r="C116"/>
          <cell r="D116" t="str">
            <v>Должник</v>
          </cell>
          <cell r="E116"/>
          <cell r="F116"/>
          <cell r="G116"/>
        </row>
        <row r="117">
          <cell r="A117" t="str">
            <v>Пономарев Алексей Владиславович</v>
          </cell>
          <cell r="B117"/>
          <cell r="C117" t="str">
            <v>НЕВЫДАВАТЬ</v>
          </cell>
          <cell r="D117" t="str">
            <v>Должник</v>
          </cell>
          <cell r="E117"/>
          <cell r="F117" t="str">
            <v>Рассчитался</v>
          </cell>
          <cell r="G117" t="str">
            <v>НЕВЫДОВАТЬ Вообще</v>
          </cell>
        </row>
        <row r="118">
          <cell r="A118" t="str">
            <v>Пратов Болотбек Давлесбекович</v>
          </cell>
          <cell r="B118"/>
          <cell r="C118"/>
          <cell r="D118" t="str">
            <v>Должник</v>
          </cell>
          <cell r="E118"/>
          <cell r="F118"/>
          <cell r="G118" t="str">
            <v>Осторожно</v>
          </cell>
        </row>
        <row r="119">
          <cell r="A119" t="str">
            <v xml:space="preserve">Разаматов Акрам Журабаевич </v>
          </cell>
          <cell r="B119"/>
          <cell r="C119"/>
          <cell r="D119" t="str">
            <v>Должник</v>
          </cell>
          <cell r="E119">
            <v>0</v>
          </cell>
          <cell r="F119" t="str">
            <v>Рассчитался</v>
          </cell>
          <cell r="G119" t="str">
            <v>Осторожно</v>
          </cell>
        </row>
        <row r="120">
          <cell r="A120" t="str">
            <v>Ренчберг Тарык Энесович</v>
          </cell>
          <cell r="B120"/>
          <cell r="C120"/>
          <cell r="D120" t="str">
            <v>Должник</v>
          </cell>
          <cell r="E120"/>
          <cell r="F120" t="str">
            <v>Осторожно</v>
          </cell>
          <cell r="G120" t="str">
            <v>ОсОО келечек Курулуш</v>
          </cell>
        </row>
        <row r="121">
          <cell r="A121" t="str">
            <v>Ручьев Александр Владимирович</v>
          </cell>
          <cell r="B121"/>
          <cell r="C121"/>
          <cell r="D121" t="str">
            <v>Должник</v>
          </cell>
          <cell r="E121">
            <v>1000</v>
          </cell>
          <cell r="F121" t="str">
            <v>Нерасчитался</v>
          </cell>
          <cell r="G121" t="str">
            <v xml:space="preserve">Взял отбойный молоток Толсен большой. Пользовался 8 суток, внес 7000 сом,долг 1000 сом. </v>
          </cell>
        </row>
        <row r="122">
          <cell r="A122" t="str">
            <v>Рыспаев Мирбек Умарович</v>
          </cell>
          <cell r="B122"/>
          <cell r="C122" t="str">
            <v>НЕВЫДАВАТЬ</v>
          </cell>
          <cell r="D122" t="str">
            <v>Должник</v>
          </cell>
          <cell r="E122">
            <v>1700</v>
          </cell>
          <cell r="F122" t="str">
            <v>Нерасчитался</v>
          </cell>
          <cell r="G122" t="str">
            <v>Взял оборудование попользовался сдал и не оплатил</v>
          </cell>
        </row>
        <row r="123">
          <cell r="A123" t="str">
            <v>Сабырбеков Нурбек Сабыржанович</v>
          </cell>
          <cell r="B123"/>
          <cell r="C123"/>
          <cell r="D123" t="str">
            <v>Должник</v>
          </cell>
          <cell r="E123"/>
          <cell r="F123" t="str">
            <v>Рассчитался</v>
          </cell>
          <cell r="G123" t="str">
            <v>Осторожно</v>
          </cell>
        </row>
        <row r="124">
          <cell r="A124" t="str">
            <v>Садыбакасов Аман Жумакеримович</v>
          </cell>
          <cell r="B124" t="str">
            <v>В СУДЕ</v>
          </cell>
          <cell r="C124" t="str">
            <v>НЕВЫДАВАТЬ</v>
          </cell>
          <cell r="D124" t="str">
            <v>Должник</v>
          </cell>
          <cell r="E124">
            <v>87100</v>
          </cell>
          <cell r="F124" t="str">
            <v>Нерасчитался</v>
          </cell>
          <cell r="G124" t="str">
            <v>В суд не вернул пушку 57 кВт (Пишпек ул Воровского 1. Взял пушку 57 кВт и пропал)</v>
          </cell>
        </row>
        <row r="125">
          <cell r="A125" t="str">
            <v>Садыбакасов Дастан</v>
          </cell>
          <cell r="B125" t="str">
            <v>В СУДЕ</v>
          </cell>
          <cell r="C125" t="str">
            <v>НЕВЫДАВАТЬ</v>
          </cell>
          <cell r="D125" t="str">
            <v>Должник</v>
          </cell>
          <cell r="E125">
            <v>145500</v>
          </cell>
          <cell r="F125" t="str">
            <v>Нерасчитался</v>
          </cell>
          <cell r="G125" t="str">
            <v>НЕВЫДАВАТЬ не сдал оборудование</v>
          </cell>
        </row>
        <row r="126">
          <cell r="A126" t="str">
            <v xml:space="preserve">Садыкахунов  Файзулла  Аширахунович </v>
          </cell>
          <cell r="B126" t="str">
            <v>Пишпек</v>
          </cell>
          <cell r="C126"/>
          <cell r="D126" t="str">
            <v>Должник</v>
          </cell>
          <cell r="E126">
            <v>2000</v>
          </cell>
          <cell r="F126" t="str">
            <v xml:space="preserve">Нерасчитался </v>
          </cell>
          <cell r="G126" t="str">
            <v xml:space="preserve">Попользовался не оплатил, ОСТОРОЖНО оборудование сдал не оплатил. Не выдавать </v>
          </cell>
        </row>
        <row r="127">
          <cell r="A127" t="str">
            <v>Саиев Кубатбек Болушевич</v>
          </cell>
          <cell r="B127"/>
          <cell r="C127"/>
          <cell r="D127" t="str">
            <v xml:space="preserve">ДОЛБОЕБ </v>
          </cell>
          <cell r="E127"/>
          <cell r="F127"/>
          <cell r="G127" t="str">
            <v>Долбоеб</v>
          </cell>
        </row>
        <row r="128">
          <cell r="A128" t="str">
            <v xml:space="preserve">Сайдылдаев Рамазан Мухиддинович </v>
          </cell>
          <cell r="B128" t="str">
            <v>Пишпек</v>
          </cell>
          <cell r="C128"/>
          <cell r="D128" t="str">
            <v>Должник</v>
          </cell>
          <cell r="E128">
            <v>0</v>
          </cell>
          <cell r="F128" t="str">
            <v>РАСЧИТАЛСЯ</v>
          </cell>
          <cell r="G128" t="str">
            <v xml:space="preserve">Геморройный человек, оплату за  аренду долго отдает, выдавать под полную стоимость оборудования. </v>
          </cell>
        </row>
        <row r="129">
          <cell r="A129" t="str">
            <v>Сайипов Данияр Абдубанопович</v>
          </cell>
          <cell r="B129"/>
          <cell r="C129"/>
          <cell r="D129" t="str">
            <v>Должник</v>
          </cell>
          <cell r="E129">
            <v>0</v>
          </cell>
          <cell r="F129" t="str">
            <v>РАСЧИТАЛСЯ</v>
          </cell>
          <cell r="G129" t="str">
            <v>Взял оборудование попользовался сдал и не оплатил Оплатил после Долг сервиса</v>
          </cell>
        </row>
        <row r="130">
          <cell r="A130" t="str">
            <v>Сакатаев Азамат Тургунбекович</v>
          </cell>
          <cell r="B130"/>
          <cell r="C130"/>
          <cell r="D130" t="str">
            <v>Должник</v>
          </cell>
          <cell r="E130"/>
          <cell r="F130" t="str">
            <v>РАСЧИТАЛСЯ</v>
          </cell>
          <cell r="G130" t="str">
            <v>Взял 230 болгарку, пользовался 6 суток, сдал и не оплатил. В залоге лежит паспорт ОПЛАТИЛ</v>
          </cell>
        </row>
        <row r="131">
          <cell r="A131" t="str">
            <v>Саралаев Жолдошбек Жээнбекович</v>
          </cell>
          <cell r="B131"/>
          <cell r="C131" t="str">
            <v>НЕВЫДАВАТЬ</v>
          </cell>
          <cell r="D131" t="str">
            <v>Должник</v>
          </cell>
          <cell r="E131">
            <v>23700</v>
          </cell>
          <cell r="F131"/>
          <cell r="G131" t="str">
            <v>Взял Бетономе и пропал , с горем  нашли на складе таатана и  неможем его найти изчез долг 23700сом</v>
          </cell>
        </row>
        <row r="132">
          <cell r="A132" t="str">
            <v xml:space="preserve">Саткыналиев Таланбек Елчибекович </v>
          </cell>
          <cell r="B132"/>
          <cell r="C132" t="str">
            <v>НЕВЫДАВАТЬ</v>
          </cell>
          <cell r="D132" t="str">
            <v>Должник</v>
          </cell>
          <cell r="E132"/>
          <cell r="F132" t="str">
            <v>НЕВЫДОВАТЬ</v>
          </cell>
          <cell r="G132" t="str">
            <v>ДОЛБОЕБ</v>
          </cell>
        </row>
        <row r="133">
          <cell r="A133" t="str">
            <v xml:space="preserve">Сатынбек Уулу Айбек </v>
          </cell>
          <cell r="B133"/>
          <cell r="C133" t="str">
            <v>НЕВЫДАВАТЬ</v>
          </cell>
          <cell r="D133" t="str">
            <v>Должник</v>
          </cell>
          <cell r="E133"/>
          <cell r="F133" t="str">
            <v>НЕВЫДОВАТЬ</v>
          </cell>
          <cell r="G133" t="str">
            <v>ДОЛБОЕБ</v>
          </cell>
        </row>
        <row r="134">
          <cell r="A134" t="str">
            <v xml:space="preserve">Сейдилбеков Ермек Жалилович </v>
          </cell>
          <cell r="B134"/>
          <cell r="C134" t="str">
            <v>НЕВЫДАВАТЬ</v>
          </cell>
          <cell r="D134" t="str">
            <v>Должник</v>
          </cell>
          <cell r="E134">
            <v>54500</v>
          </cell>
          <cell r="F134" t="str">
            <v>Нерасчитался</v>
          </cell>
          <cell r="G134" t="str">
            <v>Взял оборудование попользовался сдал и не оплатил</v>
          </cell>
        </row>
        <row r="135">
          <cell r="A135" t="str">
            <v>Середина Юлия Анатольевна</v>
          </cell>
          <cell r="B135" t="str">
            <v>Пишпек</v>
          </cell>
          <cell r="C135"/>
          <cell r="D135" t="str">
            <v>Должник</v>
          </cell>
          <cell r="E135"/>
          <cell r="F135" t="str">
            <v>Рассчиталась</v>
          </cell>
          <cell r="G135" t="str">
            <v>Геморройный клиент Осторожно Рассчиталась только после обращения в милицию</v>
          </cell>
        </row>
        <row r="136">
          <cell r="A136" t="str">
            <v>Соловьева Екатерина</v>
          </cell>
          <cell r="B136"/>
          <cell r="C136"/>
          <cell r="D136" t="str">
            <v>Должник</v>
          </cell>
          <cell r="E136"/>
          <cell r="F136"/>
          <cell r="G136" t="str">
            <v>Геморройный клиент Осторожно</v>
          </cell>
        </row>
        <row r="137">
          <cell r="A137" t="str">
            <v>Сооронбаев Максат Болотбекович</v>
          </cell>
          <cell r="B137"/>
          <cell r="C137" t="str">
            <v>НЕВЫДАВАТЬ</v>
          </cell>
          <cell r="D137" t="str">
            <v>Должник</v>
          </cell>
          <cell r="E137">
            <v>8000</v>
          </cell>
          <cell r="F137" t="str">
            <v>НЕВЫДОВАТЬ</v>
          </cell>
          <cell r="G137" t="str">
            <v>ДОЛБОЕБ</v>
          </cell>
        </row>
        <row r="138">
          <cell r="A138" t="str">
            <v>Софиев Бахтияр Эмижанович</v>
          </cell>
          <cell r="B138"/>
          <cell r="C138"/>
          <cell r="D138" t="str">
            <v>Должник</v>
          </cell>
          <cell r="E138"/>
          <cell r="F138" t="str">
            <v xml:space="preserve">Рассчитался </v>
          </cell>
          <cell r="G138" t="str">
            <v>Осторожно</v>
          </cell>
        </row>
        <row r="139">
          <cell r="A139" t="str">
            <v xml:space="preserve">Суеркулов Рустам Сапарович </v>
          </cell>
          <cell r="B139"/>
          <cell r="C139"/>
          <cell r="D139" t="str">
            <v>Должник</v>
          </cell>
          <cell r="E139"/>
          <cell r="F139" t="str">
            <v xml:space="preserve">Рассчитался </v>
          </cell>
          <cell r="G139" t="str">
            <v>Осторожно</v>
          </cell>
        </row>
        <row r="140">
          <cell r="A140" t="str">
            <v>Сулайманов Таалайбек Жоронбекович</v>
          </cell>
          <cell r="B140"/>
          <cell r="C140"/>
          <cell r="D140" t="str">
            <v>Должник</v>
          </cell>
          <cell r="E140"/>
          <cell r="F140" t="str">
            <v xml:space="preserve">Рассчитался </v>
          </cell>
          <cell r="G140" t="str">
            <v>Злостный неплательщик. Выдавать только по паспорт+депозит+сумма проката. Арендную плату удалось выбить только после отправки уведомления о заявлении в милицию.</v>
          </cell>
        </row>
        <row r="141">
          <cell r="A141" t="str">
            <v>Сулайманов Тимур Мухамединович</v>
          </cell>
          <cell r="B141"/>
          <cell r="C141"/>
          <cell r="D141" t="str">
            <v>Должник</v>
          </cell>
          <cell r="E141">
            <v>0</v>
          </cell>
          <cell r="F141" t="str">
            <v xml:space="preserve">Рассчитался </v>
          </cell>
          <cell r="G141" t="str">
            <v>Попользовался и не оплатил. Филиал на Кок-Жаре</v>
          </cell>
        </row>
        <row r="142">
          <cell r="A142" t="str">
            <v xml:space="preserve">Суханали уулу Курманбек </v>
          </cell>
          <cell r="B142"/>
          <cell r="C142" t="str">
            <v>Пишпек</v>
          </cell>
          <cell r="D142" t="str">
            <v>Должник</v>
          </cell>
          <cell r="E142">
            <v>6200</v>
          </cell>
          <cell r="F142" t="str">
            <v>Нерасчитался</v>
          </cell>
          <cell r="G142" t="str">
            <v>Взяли в аренду 30,06,2021 мойку Штиль, не оплатили аренду, кормили завтраками, приезжал старший прораб сказал что они работали всего 3 дня и платить не собираются. долг 6200</v>
          </cell>
        </row>
        <row r="143">
          <cell r="A143" t="str">
            <v>Сыдыгалиев Атай Уранович</v>
          </cell>
          <cell r="B143"/>
          <cell r="C143" t="str">
            <v>НЕВЫДАВАТЬ</v>
          </cell>
          <cell r="D143" t="str">
            <v>Должник</v>
          </cell>
          <cell r="E143"/>
          <cell r="F143" t="str">
            <v>НЕВЫДОВАТЬ</v>
          </cell>
          <cell r="G143" t="str">
            <v>ДОЛБОЕБ</v>
          </cell>
        </row>
        <row r="144">
          <cell r="A144" t="str">
            <v>Сыдыкбеков Рахимжан Кенешович</v>
          </cell>
          <cell r="B144"/>
          <cell r="C144"/>
          <cell r="D144" t="str">
            <v>Должник</v>
          </cell>
          <cell r="E144">
            <v>500</v>
          </cell>
          <cell r="F144" t="str">
            <v>Нерасчитался</v>
          </cell>
          <cell r="G144" t="str">
            <v>Взял оборудование попользовался сдал и не оплатил</v>
          </cell>
        </row>
        <row r="145">
          <cell r="A145" t="str">
            <v>Сыдыков Руслан Сыдыкович</v>
          </cell>
          <cell r="B145"/>
          <cell r="C145"/>
          <cell r="D145" t="str">
            <v>Должник</v>
          </cell>
          <cell r="E145">
            <v>600</v>
          </cell>
          <cell r="F145" t="str">
            <v>Нерасчитался</v>
          </cell>
          <cell r="G145" t="str">
            <v>Взял оборудование попользовался сдал и не оплатил ( Пишпек ул Воровского 1. Взял пушку для натяжного потолка  долг 600 сом)</v>
          </cell>
        </row>
        <row r="146">
          <cell r="A146" t="str">
            <v>Таалайбек уулу Данияр</v>
          </cell>
          <cell r="B146" t="str">
            <v>В СУДЕ</v>
          </cell>
          <cell r="C146" t="str">
            <v>НЕВЫДАВАТЬ</v>
          </cell>
          <cell r="D146" t="str">
            <v>Должник</v>
          </cell>
          <cell r="E146">
            <v>37200</v>
          </cell>
          <cell r="F146" t="str">
            <v>Нерасчитался</v>
          </cell>
          <cell r="G146" t="str">
            <v>Взял рохлю в аренду 18,11,2021 не вернул оборудования, на связь выходит редко, кормит завтраками долг на 06.01.2022 рохля+37200 аренда.</v>
          </cell>
        </row>
        <row r="147">
          <cell r="A147" t="str">
            <v>Табалдиев Улан Жумабекович</v>
          </cell>
          <cell r="B147"/>
          <cell r="C147"/>
          <cell r="D147" t="str">
            <v>Должник</v>
          </cell>
          <cell r="E147">
            <v>0</v>
          </cell>
          <cell r="F147" t="str">
            <v>Рассчитался</v>
          </cell>
          <cell r="G147" t="str">
            <v>Рассчитывается год выдавать только под полную стоимость паспорт</v>
          </cell>
        </row>
        <row r="148">
          <cell r="A148" t="str">
            <v xml:space="preserve">Таджибаев Асхатбек Советбекович </v>
          </cell>
          <cell r="B148" t="str">
            <v>В СУДЕ</v>
          </cell>
          <cell r="C148" t="str">
            <v>НЕВЫДАВАТЬ</v>
          </cell>
          <cell r="D148" t="str">
            <v>Должник</v>
          </cell>
          <cell r="E148"/>
          <cell r="F148" t="str">
            <v>Нерасчитался</v>
          </cell>
          <cell r="G148" t="str">
            <v>НЕВЫДАВАТЬ не сдал оборудование</v>
          </cell>
        </row>
        <row r="149">
          <cell r="A149" t="str">
            <v>Тажибаев Рысмат Абдырахманович</v>
          </cell>
          <cell r="B149"/>
          <cell r="C149"/>
          <cell r="D149" t="str">
            <v>Должник</v>
          </cell>
          <cell r="E149">
            <v>3200</v>
          </cell>
          <cell r="F149" t="str">
            <v>Нерасчитался</v>
          </cell>
          <cell r="G149" t="str">
            <v>Взял оборудование попользовался сдал и не оплатил</v>
          </cell>
        </row>
        <row r="150">
          <cell r="A150" t="str">
            <v xml:space="preserve">Таиров Фарух Расулович </v>
          </cell>
          <cell r="B150"/>
          <cell r="C150" t="str">
            <v>НЕВЫДАВАТЬ</v>
          </cell>
          <cell r="D150" t="str">
            <v>Должник</v>
          </cell>
          <cell r="E150">
            <v>254000</v>
          </cell>
          <cell r="F150" t="str">
            <v>Нерасчитался</v>
          </cell>
          <cell r="G150" t="str">
            <v>НЕВЫДАВАТЬ не сдал оборудование</v>
          </cell>
        </row>
        <row r="151">
          <cell r="A151" t="str">
            <v>Талабаев Бакыт Талабаевич</v>
          </cell>
          <cell r="B151"/>
          <cell r="C151"/>
          <cell r="D151" t="str">
            <v>Должник</v>
          </cell>
          <cell r="E151"/>
          <cell r="F151" t="str">
            <v>НЕВЫДОВАТЬ</v>
          </cell>
          <cell r="G151" t="str">
            <v>ДОЛБОЕБ</v>
          </cell>
        </row>
        <row r="152">
          <cell r="A152" t="str">
            <v xml:space="preserve">Талантбек Уулу Мухаммед </v>
          </cell>
          <cell r="B152"/>
          <cell r="C152"/>
          <cell r="D152" t="str">
            <v>Должник</v>
          </cell>
          <cell r="E152"/>
          <cell r="F152" t="str">
            <v>НЕВЫДОВАТЬ</v>
          </cell>
          <cell r="G152" t="str">
            <v>ДОЛБОЕБ</v>
          </cell>
        </row>
        <row r="153">
          <cell r="A153" t="str">
            <v>Талантбеков Байышбек Талантбекович</v>
          </cell>
          <cell r="B153"/>
          <cell r="C153" t="str">
            <v>НЕВЫДАВАТЬ</v>
          </cell>
          <cell r="D153" t="str">
            <v>Должник</v>
          </cell>
          <cell r="E153">
            <v>11100</v>
          </cell>
          <cell r="F153" t="str">
            <v>Нерасчитался</v>
          </cell>
          <cell r="G153" t="str">
            <v>Взял оборудование попользовался сдал и не оплатил</v>
          </cell>
        </row>
        <row r="154">
          <cell r="A154" t="str">
            <v>Татаренко Ольга Васильевна</v>
          </cell>
          <cell r="B154" t="str">
            <v>В СУДЕ</v>
          </cell>
          <cell r="C154"/>
          <cell r="D154" t="str">
            <v>Должник</v>
          </cell>
          <cell r="E154"/>
          <cell r="F154" t="str">
            <v>Нерасчитался</v>
          </cell>
          <cell r="G154" t="str">
            <v>НЕВЫДАВАТЬ не сдала оборудование</v>
          </cell>
        </row>
        <row r="155">
          <cell r="A155" t="str">
            <v>Ташмаматов Сьезбек Багышбекович</v>
          </cell>
          <cell r="B155"/>
          <cell r="C155"/>
          <cell r="D155" t="str">
            <v>Должник</v>
          </cell>
          <cell r="E155">
            <v>11300</v>
          </cell>
          <cell r="F155" t="str">
            <v>Нерасчитался</v>
          </cell>
          <cell r="G155" t="str">
            <v>Попользовался и не оплатил. Филиал на Кок-Жаре</v>
          </cell>
        </row>
        <row r="156">
          <cell r="A156" t="str">
            <v>Ташполот уулу Омурбек</v>
          </cell>
          <cell r="B156"/>
          <cell r="C156" t="str">
            <v>НЕВЫДАВАТЬ</v>
          </cell>
          <cell r="D156" t="str">
            <v>Должник</v>
          </cell>
          <cell r="E156">
            <v>26800</v>
          </cell>
          <cell r="F156" t="str">
            <v>Нерасчитался</v>
          </cell>
          <cell r="G156" t="str">
            <v>НЕВЫДАВАТЬ</v>
          </cell>
        </row>
        <row r="157">
          <cell r="A157" t="str">
            <v>Ташыбеков Талантбек Джумалиевич</v>
          </cell>
          <cell r="B157"/>
          <cell r="C157"/>
          <cell r="D157" t="str">
            <v>Должник</v>
          </cell>
          <cell r="E157"/>
          <cell r="F157" t="str">
            <v>НЕВЫДОВАТЬ</v>
          </cell>
          <cell r="G157" t="str">
            <v>ДОЛБОЕБ</v>
          </cell>
        </row>
        <row r="158">
          <cell r="A158" t="str">
            <v>Тентимишов Талантбек Эмилбекович</v>
          </cell>
          <cell r="B158"/>
          <cell r="C158"/>
          <cell r="D158" t="str">
            <v>Должник</v>
          </cell>
          <cell r="E158">
            <v>6800</v>
          </cell>
          <cell r="F158" t="str">
            <v>Нерасчитался</v>
          </cell>
          <cell r="G158" t="str">
            <v>Попользовался и не оплатил. Филиал на Кок-Жаре</v>
          </cell>
        </row>
        <row r="159">
          <cell r="A159" t="str">
            <v xml:space="preserve">Токпаев Калык Сагыналиевич </v>
          </cell>
          <cell r="B159" t="str">
            <v>В СУДЕ</v>
          </cell>
          <cell r="C159"/>
          <cell r="D159" t="str">
            <v>Должник</v>
          </cell>
          <cell r="E159"/>
          <cell r="F159" t="str">
            <v>Нерасчитался</v>
          </cell>
          <cell r="G159" t="str">
            <v>НЕВЫДАВАТЬ не сдал оборудование</v>
          </cell>
        </row>
        <row r="160">
          <cell r="A160" t="str">
            <v>Токтогожоев Арген Тынчтыбекович</v>
          </cell>
          <cell r="B160"/>
          <cell r="C160"/>
          <cell r="D160" t="str">
            <v>Должник</v>
          </cell>
          <cell r="E160">
            <v>0</v>
          </cell>
          <cell r="F160" t="str">
            <v>Рассчитался</v>
          </cell>
          <cell r="G160" t="str">
            <v>Попользовался и не оплатил. Осторожно!</v>
          </cell>
        </row>
        <row r="161">
          <cell r="A161" t="str">
            <v>Турсунбеков Шерлан</v>
          </cell>
          <cell r="B161"/>
          <cell r="C161"/>
          <cell r="D161" t="str">
            <v>Должник</v>
          </cell>
          <cell r="E161">
            <v>0</v>
          </cell>
          <cell r="F161" t="str">
            <v>Рассчитался</v>
          </cell>
          <cell r="G161" t="str">
            <v>Долги трудно выбиваемый проблемный</v>
          </cell>
        </row>
        <row r="162">
          <cell r="A162" t="str">
            <v xml:space="preserve">Турсункулов Молдобек Аманович </v>
          </cell>
          <cell r="B162"/>
          <cell r="C162" t="str">
            <v>НЕВЫДАВАТЬ</v>
          </cell>
          <cell r="D162" t="str">
            <v>Должник</v>
          </cell>
          <cell r="E162"/>
          <cell r="F162" t="str">
            <v>Рассчитался</v>
          </cell>
          <cell r="G162" t="str">
            <v>НЕВЫДАВАТЬ</v>
          </cell>
        </row>
        <row r="163">
          <cell r="A163" t="str">
            <v>Тыналиев Замирбек Базаркулович</v>
          </cell>
          <cell r="B163"/>
          <cell r="C163"/>
          <cell r="D163" t="str">
            <v>Должник</v>
          </cell>
          <cell r="E163"/>
          <cell r="F163" t="str">
            <v>Рассчитался</v>
          </cell>
          <cell r="G163" t="str">
            <v>Долги трудно выбиваемый проблемный</v>
          </cell>
        </row>
        <row r="164">
          <cell r="A164" t="str">
            <v>Тынычбек уулу Эрлан</v>
          </cell>
          <cell r="B164"/>
          <cell r="C164"/>
          <cell r="D164" t="str">
            <v>Должник</v>
          </cell>
          <cell r="E164">
            <v>1000</v>
          </cell>
          <cell r="F164" t="str">
            <v>НЕВЫДОВАТЬ</v>
          </cell>
          <cell r="G164" t="str">
            <v>ДОЛБОЕБ</v>
          </cell>
        </row>
        <row r="165">
          <cell r="A165" t="str">
            <v>Усов Александр Сергеевич</v>
          </cell>
          <cell r="B165"/>
          <cell r="C165" t="str">
            <v>НЕВЫДАВАТЬ</v>
          </cell>
          <cell r="D165" t="str">
            <v>Должник</v>
          </cell>
          <cell r="E165"/>
          <cell r="F165" t="str">
            <v>Не выдавать</v>
          </cell>
          <cell r="G165" t="str">
            <v>НЕВЫДАВАТЬ ооооочень долго рассчитывается</v>
          </cell>
        </row>
        <row r="166">
          <cell r="A166" t="str">
            <v>Усубакунов Эдилбек Карыпбаевич</v>
          </cell>
          <cell r="B166"/>
          <cell r="C166"/>
          <cell r="D166" t="str">
            <v>Должник</v>
          </cell>
          <cell r="E166">
            <v>1000</v>
          </cell>
          <cell r="F166" t="str">
            <v>Нерасчитался</v>
          </cell>
          <cell r="G166" t="str">
            <v>Конфликтный только под полную стоимость</v>
          </cell>
        </row>
        <row r="167">
          <cell r="A167" t="str">
            <v xml:space="preserve">Усупжанов Раимбек Эзенович </v>
          </cell>
          <cell r="B167"/>
          <cell r="C167" t="str">
            <v>НЕВЫДАВАТЬ</v>
          </cell>
          <cell r="D167" t="str">
            <v>Должник</v>
          </cell>
          <cell r="E167">
            <v>500</v>
          </cell>
          <cell r="F167" t="str">
            <v>Нерасчитался</v>
          </cell>
          <cell r="G167" t="str">
            <v>Попользовался и не оплатил Только под полный залог с паспортом</v>
          </cell>
        </row>
        <row r="168">
          <cell r="A168" t="str">
            <v xml:space="preserve">Хасимов Айбек Аблахатович </v>
          </cell>
          <cell r="B168"/>
          <cell r="C168"/>
          <cell r="D168" t="str">
            <v>Должник</v>
          </cell>
          <cell r="E168">
            <v>21000</v>
          </cell>
          <cell r="F168" t="str">
            <v>Нерасчитался</v>
          </cell>
          <cell r="G168" t="str">
            <v>Попользовался и не оплатил Только под полную стоимость с паспортом</v>
          </cell>
        </row>
        <row r="169">
          <cell r="A169" t="str">
            <v>Хашимов Батиржан Нурмаматжанович</v>
          </cell>
          <cell r="B169" t="str">
            <v>В СУДЕ</v>
          </cell>
          <cell r="C169" t="str">
            <v>НЕВЫДАВАТЬ</v>
          </cell>
          <cell r="D169" t="str">
            <v>Должник</v>
          </cell>
          <cell r="E169"/>
          <cell r="F169" t="str">
            <v>Нерасчитался</v>
          </cell>
          <cell r="G169" t="str">
            <v>НЕВЫДАВАТЬ не сдал оборудование</v>
          </cell>
        </row>
        <row r="170">
          <cell r="A170" t="str">
            <v>Цимерман Артем Александрович</v>
          </cell>
          <cell r="B170"/>
          <cell r="C170"/>
          <cell r="D170" t="str">
            <v>Должник</v>
          </cell>
          <cell r="E170"/>
          <cell r="F170" t="str">
            <v>Рассчитался</v>
          </cell>
          <cell r="G170" t="str">
            <v>Тянул Резину 61 сутки рассчитался после обращения в милицию</v>
          </cell>
        </row>
        <row r="171">
          <cell r="A171" t="str">
            <v>Чен Виктор Дмитриевич</v>
          </cell>
          <cell r="B171"/>
          <cell r="C171"/>
          <cell r="D171" t="str">
            <v>Должник</v>
          </cell>
          <cell r="E171">
            <v>0</v>
          </cell>
          <cell r="F171" t="str">
            <v>Рассчитался</v>
          </cell>
          <cell r="G171" t="str">
            <v xml:space="preserve">Попользовался и не оплатил </v>
          </cell>
        </row>
        <row r="172">
          <cell r="A172" t="str">
            <v>Чертов Александр Борисович</v>
          </cell>
          <cell r="B172" t="str">
            <v>В СУДЕ</v>
          </cell>
          <cell r="C172" t="str">
            <v>НЕВЫДАВАТЬ</v>
          </cell>
          <cell r="D172" t="str">
            <v>Должник</v>
          </cell>
          <cell r="E172"/>
          <cell r="F172" t="str">
            <v>Рассчитался</v>
          </cell>
          <cell r="G172" t="str">
            <v>НЕВЫДАВАТЬ не сдал оборудование</v>
          </cell>
        </row>
        <row r="173">
          <cell r="A173" t="str">
            <v xml:space="preserve">Чолоков Азамат Эралиевич </v>
          </cell>
          <cell r="B173"/>
          <cell r="C173"/>
          <cell r="D173" t="str">
            <v>Должник</v>
          </cell>
          <cell r="E173"/>
          <cell r="F173" t="str">
            <v>Рассчитался</v>
          </cell>
          <cell r="G173" t="str">
            <v>Тянул Резину 61 сутки рассчитался после занесения в Ч.С. В интернете</v>
          </cell>
        </row>
        <row r="174">
          <cell r="A174" t="str">
            <v>Чондуев Мирзан Эсенбекович</v>
          </cell>
          <cell r="B174"/>
          <cell r="C174" t="str">
            <v>НЕВЫДАВАТЬ</v>
          </cell>
          <cell r="D174" t="str">
            <v>Должник</v>
          </cell>
          <cell r="E174">
            <v>20200</v>
          </cell>
          <cell r="F174" t="str">
            <v>Нерасчитался</v>
          </cell>
          <cell r="G174" t="str">
            <v>НЕВЫДАВАТЬ не сдал оборудование</v>
          </cell>
        </row>
        <row r="175">
          <cell r="A175" t="str">
            <v>Шарипов Назриддин Бахридинович</v>
          </cell>
          <cell r="B175" t="str">
            <v>В СУДЕ</v>
          </cell>
          <cell r="C175" t="str">
            <v>НЕВЫДАВАТЬ</v>
          </cell>
          <cell r="D175" t="str">
            <v>Должник</v>
          </cell>
          <cell r="E175"/>
          <cell r="F175" t="str">
            <v>Нерасчитался</v>
          </cell>
          <cell r="G175" t="str">
            <v>НЕВЫДАВАТЬ не сдал оборудование ( Пишпек ул Воровского 1 )</v>
          </cell>
        </row>
        <row r="176">
          <cell r="A176" t="str">
            <v xml:space="preserve">Шаршенов Улукбек Ашыркулович </v>
          </cell>
          <cell r="B176"/>
          <cell r="C176"/>
          <cell r="D176" t="str">
            <v>Должник</v>
          </cell>
          <cell r="E176">
            <v>500</v>
          </cell>
          <cell r="F176" t="str">
            <v>Нерасчитался</v>
          </cell>
          <cell r="G176" t="str">
            <v>Засрали бетономешалку не оплатили штраф 500сом</v>
          </cell>
        </row>
        <row r="177">
          <cell r="A177" t="str">
            <v>Шмураткин Кирилл Сергеевич</v>
          </cell>
          <cell r="B177"/>
          <cell r="C177"/>
          <cell r="D177" t="str">
            <v>Должник</v>
          </cell>
          <cell r="E177"/>
          <cell r="F177" t="str">
            <v>Умер</v>
          </cell>
          <cell r="G177" t="str">
            <v>Должен был 18000 сом</v>
          </cell>
        </row>
        <row r="178">
          <cell r="A178" t="str">
            <v>Шукурганова Айсулуу Кутмановна</v>
          </cell>
          <cell r="B178"/>
          <cell r="C178"/>
          <cell r="D178" t="str">
            <v>Мозгоебка</v>
          </cell>
          <cell r="E178"/>
          <cell r="F178" t="str">
            <v>Рассчиталась</v>
          </cell>
          <cell r="G178" t="str">
            <v>Долбаебка</v>
          </cell>
        </row>
        <row r="179">
          <cell r="A179" t="str">
            <v>Щепкин Алексей Анатольевич</v>
          </cell>
          <cell r="B179"/>
          <cell r="C179"/>
          <cell r="D179" t="str">
            <v>Должник</v>
          </cell>
          <cell r="E179">
            <v>18000</v>
          </cell>
          <cell r="F179" t="str">
            <v xml:space="preserve">Нерасчитался </v>
          </cell>
          <cell r="G179" t="str">
            <v>Взял болгарка 180 и пропал закормил обещаниями ( Пишпек ул Воровского 1)</v>
          </cell>
        </row>
        <row r="180">
          <cell r="A180" t="str">
            <v>Элеманов Эламан Керимкулович</v>
          </cell>
          <cell r="B180" t="str">
            <v>Пишпек</v>
          </cell>
          <cell r="C180"/>
          <cell r="D180" t="str">
            <v>Должник</v>
          </cell>
          <cell r="E180">
            <v>3200</v>
          </cell>
          <cell r="F180" t="str">
            <v xml:space="preserve">Нерасчитался </v>
          </cell>
          <cell r="G180" t="str">
            <v>Вернул но не рассчитался ( Пишпек ул Воровского 1. Брал пылесос 75 литров)</v>
          </cell>
        </row>
        <row r="181">
          <cell r="A181" t="str">
            <v xml:space="preserve">Эшимбеков Адиль Канатович </v>
          </cell>
          <cell r="B181"/>
          <cell r="C181"/>
          <cell r="D181" t="str">
            <v>Должник</v>
          </cell>
          <cell r="E181"/>
          <cell r="F181" t="str">
            <v>Рассчитался</v>
          </cell>
          <cell r="G181" t="str">
            <v>Тянет резину с 6 ноября 2019 г Выдавать под полный залог и паспорт</v>
          </cell>
        </row>
        <row r="182">
          <cell r="A182" t="str">
            <v>Юсупов Давран Шавхетович</v>
          </cell>
          <cell r="B182"/>
          <cell r="C182"/>
          <cell r="D182" t="str">
            <v>Должник</v>
          </cell>
          <cell r="E182"/>
          <cell r="F182" t="str">
            <v>Рассчитался</v>
          </cell>
          <cell r="G182" t="str">
            <v>Выдавать под полную стоимость оборудования  Осторожно мозгоеб</v>
          </cell>
        </row>
        <row r="183">
          <cell r="A183" t="str">
            <v xml:space="preserve">Якобжанов Усупжан Иминжанович </v>
          </cell>
          <cell r="B183"/>
          <cell r="C183"/>
          <cell r="D183" t="str">
            <v>Должник</v>
          </cell>
          <cell r="E183"/>
          <cell r="F183"/>
          <cell r="G183" t="str">
            <v>Не чего не выдавать</v>
          </cell>
        </row>
        <row r="184">
          <cell r="A184" t="str">
            <v>Якушев Василий Валентинович</v>
          </cell>
          <cell r="B184"/>
          <cell r="C184" t="str">
            <v>НЕВЫДАВАТЬ</v>
          </cell>
          <cell r="D184" t="str">
            <v>Должник</v>
          </cell>
          <cell r="E184">
            <v>3800</v>
          </cell>
          <cell r="F184"/>
          <cell r="G184" t="str">
            <v>Попользовался  и не оплатил Только под полный залог с паспортом</v>
          </cell>
        </row>
        <row r="185">
          <cell r="A185"/>
          <cell r="B185" t="str">
            <v>2022 год</v>
          </cell>
          <cell r="C185"/>
          <cell r="D185"/>
          <cell r="E185"/>
          <cell r="F185"/>
          <cell r="G185"/>
        </row>
        <row r="186">
          <cell r="A186" t="str">
            <v>Калбаев Асанбай Сапарбекович</v>
          </cell>
          <cell r="B186"/>
          <cell r="C186"/>
          <cell r="D186" t="str">
            <v>Должник</v>
          </cell>
          <cell r="E186">
            <v>1300</v>
          </cell>
          <cell r="F186" t="str">
            <v>Осторожно</v>
          </cell>
          <cell r="G186" t="str">
            <v>Взяли попользовались но неоплатитли</v>
          </cell>
        </row>
        <row r="187">
          <cell r="A187" t="str">
            <v>Назаров Закиржан Султанович</v>
          </cell>
          <cell r="B187"/>
          <cell r="C187"/>
          <cell r="D187" t="str">
            <v>Должник</v>
          </cell>
          <cell r="E187">
            <v>1600</v>
          </cell>
          <cell r="F187" t="str">
            <v>Осторожно</v>
          </cell>
          <cell r="G187" t="str">
            <v>Взяли попользовались но неоплатитли</v>
          </cell>
        </row>
        <row r="188">
          <cell r="A188" t="str">
            <v>Бабажанов Музаффар Адилович</v>
          </cell>
          <cell r="B188"/>
          <cell r="C188"/>
          <cell r="D188" t="str">
            <v>Должник</v>
          </cell>
          <cell r="E188"/>
          <cell r="F188" t="str">
            <v>Рассчитались</v>
          </cell>
          <cell r="G188" t="str">
            <v>Вернули оплатили Осторожно</v>
          </cell>
        </row>
        <row r="189">
          <cell r="A189" t="str">
            <v>Топчубай уулу Тариел</v>
          </cell>
          <cell r="B189" t="str">
            <v>Пишпек</v>
          </cell>
          <cell r="C189"/>
          <cell r="D189" t="str">
            <v>Должник</v>
          </cell>
          <cell r="E189">
            <v>69500</v>
          </cell>
          <cell r="F189" t="str">
            <v>Нерасчитался</v>
          </cell>
          <cell r="G189" t="str">
            <v>НЕВЫДАВАТЬ не сдал оборудование ( Пишпек ул Воровского 1. Взял пушку для натяжного потолка и пропал)</v>
          </cell>
        </row>
        <row r="190">
          <cell r="A190" t="str">
            <v>Кенешбеков Жоодар Кенешбекович</v>
          </cell>
          <cell r="B190" t="str">
            <v>01.05.1976 г.р.</v>
          </cell>
          <cell r="C190"/>
          <cell r="D190" t="str">
            <v>Должник</v>
          </cell>
          <cell r="E190">
            <v>96200</v>
          </cell>
          <cell r="F190" t="str">
            <v>Нерассчитался</v>
          </cell>
          <cell r="G190" t="str">
            <v>НЕВЫДАВАТЬ не сдал оборудование Филиал Кок-Жар. Взял в аренду перф Толсен 17.03.2022 пропал с инструментом</v>
          </cell>
        </row>
        <row r="191">
          <cell r="A191" t="str">
            <v>Жакшылыков Атай Талгарбекович</v>
          </cell>
          <cell r="B191">
            <v>37378</v>
          </cell>
          <cell r="C191"/>
          <cell r="D191" t="str">
            <v>Должник</v>
          </cell>
          <cell r="E191">
            <v>10500</v>
          </cell>
          <cell r="F191" t="str">
            <v>Рассчитался</v>
          </cell>
          <cell r="G191" t="str">
            <v>Филиал Кок-Жар. Ненадежный</v>
          </cell>
        </row>
        <row r="192">
          <cell r="A192" t="str">
            <v>Дюйсенкулов Данияр Аскарович</v>
          </cell>
          <cell r="B192"/>
          <cell r="C192"/>
          <cell r="D192"/>
          <cell r="E192"/>
          <cell r="F192" t="str">
            <v>Осторожно</v>
          </cell>
          <cell r="G192" t="str">
            <v>Взял триммер. Сломал насадку. Не оплатил. Конфликтный. НЕ ВЫДАВАТЬ</v>
          </cell>
        </row>
        <row r="193">
          <cell r="A193" t="str">
            <v>Таалайбек уулу Арсланбек</v>
          </cell>
          <cell r="B193"/>
          <cell r="C193"/>
          <cell r="D193" t="str">
            <v>Должник</v>
          </cell>
          <cell r="E193">
            <v>62500</v>
          </cell>
          <cell r="F193" t="str">
            <v>Нерасчитался</v>
          </cell>
          <cell r="G193" t="str">
            <v>НЕВЫДАВАТЬ не сдал оборудование</v>
          </cell>
        </row>
        <row r="194">
          <cell r="A194" t="str">
            <v>Хатамов Рузибай Хатамович</v>
          </cell>
          <cell r="B194" t="str">
            <v>Таатан</v>
          </cell>
          <cell r="C194"/>
          <cell r="D194" t="str">
            <v>Должник</v>
          </cell>
          <cell r="E194">
            <v>5200</v>
          </cell>
          <cell r="F194" t="str">
            <v>Нерасчитался</v>
          </cell>
          <cell r="G194" t="str">
            <v>Сдал оборудование но неоплатил</v>
          </cell>
        </row>
        <row r="195">
          <cell r="A195" t="str">
            <v>Джакыпов Сабырбек Токтоналиевич</v>
          </cell>
          <cell r="B195" t="str">
            <v>Пишпек</v>
          </cell>
          <cell r="C195" t="str">
            <v>НЕВЫДАВАТЬ</v>
          </cell>
          <cell r="D195" t="str">
            <v>Должник</v>
          </cell>
          <cell r="E195">
            <v>1900</v>
          </cell>
          <cell r="F195" t="str">
            <v>Нерасчитался</v>
          </cell>
          <cell r="G195" t="str">
            <v>Сдал оборудование но неоплатил (Пишпек ул Воровского 1)</v>
          </cell>
        </row>
        <row r="196">
          <cell r="A196" t="str">
            <v xml:space="preserve">Бейшенбеков Эдилбек Кумарбекович </v>
          </cell>
          <cell r="B196"/>
          <cell r="C196"/>
          <cell r="D196" t="str">
            <v>Долбоеб</v>
          </cell>
          <cell r="E196">
            <v>0</v>
          </cell>
          <cell r="F196" t="str">
            <v>Рассчитался</v>
          </cell>
          <cell r="G196" t="str">
            <v>Очень долго и мучительно</v>
          </cell>
        </row>
        <row r="197">
          <cell r="A197" t="str">
            <v>Дюйсенкулов Данияр Аскарович</v>
          </cell>
          <cell r="B197" t="str">
            <v>Кок Жар</v>
          </cell>
          <cell r="C197"/>
          <cell r="D197" t="str">
            <v>Долбоеб</v>
          </cell>
          <cell r="E197">
            <v>0</v>
          </cell>
          <cell r="F197" t="str">
            <v>Осторожно</v>
          </cell>
          <cell r="G197" t="str">
            <v>Взял в аренду бензиновый триммер В итоге сломал насадку под леску написал клевету в комментариях в 2ГИС.</v>
          </cell>
        </row>
        <row r="198">
          <cell r="A198" t="str">
            <v>Оморова Акылай Султановна</v>
          </cell>
          <cell r="B198" t="str">
            <v>Пишпек</v>
          </cell>
          <cell r="C198" t="str">
            <v>НЕВЫДАВАТЬ</v>
          </cell>
          <cell r="D198" t="str">
            <v>Должник</v>
          </cell>
          <cell r="E198">
            <v>7000</v>
          </cell>
          <cell r="F198" t="str">
            <v>Нерасчитался</v>
          </cell>
          <cell r="G198" t="str">
            <v>Взяла компрессор с Пишпека с мужем,вернули но не оплатили</v>
          </cell>
        </row>
        <row r="199">
          <cell r="A199" t="str">
            <v>Аалиев Арген Калыбекович</v>
          </cell>
          <cell r="B199" t="str">
            <v>Пишпек</v>
          </cell>
          <cell r="C199" t="str">
            <v>НЕВЫДАВАТЬ</v>
          </cell>
          <cell r="D199" t="str">
            <v>Должник</v>
          </cell>
          <cell r="E199">
            <v>7000</v>
          </cell>
          <cell r="F199" t="str">
            <v>Нерасчитался</v>
          </cell>
          <cell r="G199" t="str">
            <v>Взял на паспорт жены компрессор с Пишпека, вернули но не оплатили.(Был постоянным клиентом 2 года Кинул)</v>
          </cell>
        </row>
        <row r="200">
          <cell r="A200" t="str">
            <v>Мырзабек уулу Адилет</v>
          </cell>
          <cell r="B200" t="str">
            <v>Пишпек</v>
          </cell>
          <cell r="C200" t="str">
            <v>НЕВЫДАВАТЬ</v>
          </cell>
          <cell r="D200" t="str">
            <v>Должник</v>
          </cell>
          <cell r="E200" t="str">
            <v>Много</v>
          </cell>
          <cell r="F200" t="str">
            <v>Нерасчитался</v>
          </cell>
          <cell r="G200" t="str">
            <v>Взял в аренду дрель Инко и пропал с инструментом</v>
          </cell>
        </row>
        <row r="201">
          <cell r="A201" t="str">
            <v>Турсуналы уулу Эркинбек</v>
          </cell>
          <cell r="B201" t="str">
            <v>Пишпек</v>
          </cell>
          <cell r="C201" t="str">
            <v>НЕВЫДАВАТЬ</v>
          </cell>
          <cell r="D201" t="str">
            <v>Должник</v>
          </cell>
          <cell r="E201">
            <v>3900</v>
          </cell>
          <cell r="F201" t="str">
            <v>Нерасчитался</v>
          </cell>
          <cell r="G201" t="str">
            <v>Взял в аренду компрессор попользовался но не оплатил ( Подписал Обязательство и пропал)</v>
          </cell>
        </row>
        <row r="202">
          <cell r="A202" t="str">
            <v>Кубатов Талгат Чынгызбекович</v>
          </cell>
          <cell r="B202" t="str">
            <v>Таатан</v>
          </cell>
          <cell r="C202" t="str">
            <v>НЕВЫДАВАТЬ</v>
          </cell>
          <cell r="D202" t="str">
            <v>Мошенник</v>
          </cell>
          <cell r="E202">
            <v>0</v>
          </cell>
          <cell r="F202" t="str">
            <v>РАСЧИТАЛСЯ</v>
          </cell>
          <cell r="G202" t="str">
            <v xml:space="preserve">Расчитался с горем попалам 8 октября 2022 </v>
          </cell>
        </row>
        <row r="203">
          <cell r="A203" t="str">
            <v>Сактанбеков Таалайбек Кубатбекович</v>
          </cell>
          <cell r="B203" t="str">
            <v>11 мкр</v>
          </cell>
          <cell r="C203"/>
          <cell r="D203" t="str">
            <v>Мошенник</v>
          </cell>
          <cell r="E203">
            <v>18500</v>
          </cell>
          <cell r="F203" t="str">
            <v>Нерассчитался</v>
          </cell>
          <cell r="G203" t="str">
            <v>взял в аренду торцовочную пилу Ресанта, после многочисленных звонков передал через такси 06.09.2022. Пропал</v>
          </cell>
        </row>
        <row r="204">
          <cell r="A204" t="str">
            <v>Нурумбетов Азизбек Кубатович</v>
          </cell>
          <cell r="B204" t="str">
            <v>Таатан</v>
          </cell>
          <cell r="C204"/>
          <cell r="D204" t="str">
            <v>Должник</v>
          </cell>
          <cell r="E204">
            <v>0</v>
          </cell>
          <cell r="F204" t="str">
            <v>РАСЧИТАЛСЯ</v>
          </cell>
          <cell r="G204" t="str">
            <v>21 марта 2022 года взял в аренду трамбовку электрическую 1Ф, не вернул (её украли у него из машины).</v>
          </cell>
        </row>
        <row r="205">
          <cell r="A205" t="str">
            <v>Асанов Ибраимбек Жантороевич</v>
          </cell>
          <cell r="B205" t="str">
            <v>Таатан</v>
          </cell>
          <cell r="C205" t="str">
            <v>Под полную стоимость</v>
          </cell>
          <cell r="D205" t="str">
            <v>Должник</v>
          </cell>
          <cell r="E205">
            <v>9400</v>
          </cell>
          <cell r="F205" t="str">
            <v>Расчитался</v>
          </cell>
          <cell r="G205" t="str">
            <v>Взял нивелир 5 апреля 2022 года, вернул 13 мая 2022 года.  не оплатил за аренду 9 400 сом. С горем попалам 13.12.2024</v>
          </cell>
        </row>
        <row r="206">
          <cell r="A206" t="str">
            <v>Мураталиев Айкол Улугбекович</v>
          </cell>
          <cell r="B206" t="str">
            <v>Таатан</v>
          </cell>
          <cell r="C206" t="str">
            <v>НЕВЫДАВАТЬ</v>
          </cell>
          <cell r="D206" t="str">
            <v>Должник</v>
          </cell>
          <cell r="E206">
            <v>4350</v>
          </cell>
          <cell r="F206" t="str">
            <v>Нерассчитался</v>
          </cell>
          <cell r="G206"/>
        </row>
        <row r="207">
          <cell r="A207" t="str">
            <v>Мурзабеков Эрлан Абдимаматович</v>
          </cell>
          <cell r="B207" t="str">
            <v>Таатан</v>
          </cell>
          <cell r="C207" t="str">
            <v>НЕВЫДАВАТЬ</v>
          </cell>
          <cell r="D207" t="str">
            <v>Должник</v>
          </cell>
          <cell r="E207">
            <v>64200</v>
          </cell>
          <cell r="F207" t="str">
            <v>Нерассчитался</v>
          </cell>
          <cell r="G207" t="str">
            <v>подписали Обязательство о погашении задолженности до 25.09.2022 года. С тех пор на связь не выходят</v>
          </cell>
        </row>
        <row r="208">
          <cell r="A208" t="str">
            <v>Краморов Руслан Николаевич</v>
          </cell>
          <cell r="B208" t="str">
            <v>11 мкр</v>
          </cell>
          <cell r="C208" t="str">
            <v>НЕВЫДАВАТЬ</v>
          </cell>
          <cell r="D208" t="str">
            <v>Должник</v>
          </cell>
          <cell r="E208">
            <v>36000</v>
          </cell>
          <cell r="F208" t="str">
            <v>Расчитался</v>
          </cell>
          <cell r="G208" t="str">
            <v>Взял эл пилу иполировочную машинку. Инструмент вернул 13.11.2022. Расчитался. Осторожно. Проблемный клиент</v>
          </cell>
        </row>
        <row r="209">
          <cell r="A209" t="str">
            <v>Ишенбаев Бекжан Нурланович</v>
          </cell>
          <cell r="B209" t="str">
            <v>Таатан</v>
          </cell>
          <cell r="C209" t="str">
            <v>НЕВЫДАВАТЬ</v>
          </cell>
          <cell r="D209" t="str">
            <v>Должник</v>
          </cell>
          <cell r="E209"/>
          <cell r="F209"/>
          <cell r="G209" t="str">
            <v>Взял Нивелир АТ-32, вернул но не с нашей линейкой (убитая), обещал привезти нашу и пропал</v>
          </cell>
        </row>
        <row r="210">
          <cell r="A210" t="str">
            <v>Ашимов Эркинбек Бактыбекович</v>
          </cell>
          <cell r="B210" t="str">
            <v>Таатан</v>
          </cell>
          <cell r="C210" t="str">
            <v>НЕВЫДАВАТЬ</v>
          </cell>
          <cell r="D210" t="str">
            <v>Должник</v>
          </cell>
          <cell r="E210">
            <v>19430</v>
          </cell>
          <cell r="F210" t="str">
            <v>РАСЧИТАЛСЯ ЧЕРЕЗ СУД</v>
          </cell>
          <cell r="G210" t="str">
            <v>Взял Электротепловентилятор 3Ф, сдал, подписал обязательство до 02.04.2022, пустые обещания. Последний раз выходил на связь 30.12.2022</v>
          </cell>
        </row>
        <row r="211">
          <cell r="A211" t="str">
            <v>Абдували уулу Амангелды</v>
          </cell>
          <cell r="B211" t="str">
            <v>Таатан</v>
          </cell>
          <cell r="C211"/>
          <cell r="D211" t="str">
            <v>Должник</v>
          </cell>
          <cell r="E211"/>
          <cell r="F211" t="str">
            <v>Нерассчитался</v>
          </cell>
          <cell r="G211" t="str">
            <v>взял перфоратор Старк, не вернул уехал в РФ, договорились что выкупит перфоратор за 4000 сом - пропал</v>
          </cell>
        </row>
        <row r="212">
          <cell r="A212" t="str">
            <v>Алимжанов Толкунбек Аскарбекович</v>
          </cell>
          <cell r="B212" t="str">
            <v>Таатан</v>
          </cell>
          <cell r="C212" t="str">
            <v>НЕВЫДАВАТЬ</v>
          </cell>
          <cell r="D212" t="str">
            <v>Должник / неадекват</v>
          </cell>
          <cell r="E212">
            <v>5015</v>
          </cell>
          <cell r="F212" t="str">
            <v>Нерассчитался</v>
          </cell>
          <cell r="G212" t="str">
            <v>Взял вибраторы 6м 2шт и 4м 1шт, сдал, подписал обязательство до 12.12.2022. не оплатил - после неоднократных предупреждений разместили на сайте и в соцсетях - реакция неадекватная: матерился, угрожал. Выплатил часть долга, остаток обещал 12.02.2023, не оплатил, пропал</v>
          </cell>
        </row>
        <row r="213">
          <cell r="A213" t="str">
            <v>Ахмеджанов Расулжан Гайратбекович</v>
          </cell>
          <cell r="B213" t="str">
            <v>Таатан</v>
          </cell>
          <cell r="C213" t="str">
            <v>НЕВЫДАВАТЬ</v>
          </cell>
          <cell r="D213" t="str">
            <v>Должник / неадекват</v>
          </cell>
          <cell r="E213">
            <v>5400</v>
          </cell>
          <cell r="F213" t="str">
            <v>Нерассчитался</v>
          </cell>
          <cell r="G213" t="str">
            <v>Взял безвоздушный краскопульт, сдал, не оплатил, постоянные обещания. После неоднократных предупреждений разместили на сайте и в соцсетях - реакция неадекватная: матерился, угрожал. Из бригады Исламова ильяса Якубжановича</v>
          </cell>
        </row>
        <row r="214">
          <cell r="A214" t="str">
            <v>Исламов Ильяс Якубжанович</v>
          </cell>
          <cell r="B214" t="str">
            <v>Таатан</v>
          </cell>
          <cell r="C214"/>
          <cell r="D214" t="str">
            <v>Должник</v>
          </cell>
          <cell r="E214">
            <v>17810</v>
          </cell>
          <cell r="F214" t="str">
            <v>Нерассчитался</v>
          </cell>
          <cell r="G214" t="str">
            <v>Леса 5 секций, штроборез, пылесос. Сдал, постепенно расчитывается</v>
          </cell>
        </row>
        <row r="215">
          <cell r="A215" t="str">
            <v>Билмеди Орхан</v>
          </cell>
          <cell r="B215" t="str">
            <v>Таатан</v>
          </cell>
          <cell r="C215" t="str">
            <v>НЕВЫДАВАТЬ</v>
          </cell>
          <cell r="D215" t="str">
            <v>Должник</v>
          </cell>
          <cell r="E215">
            <v>37000</v>
          </cell>
          <cell r="F215" t="str">
            <v>РАСЧИТАЛСЯ</v>
          </cell>
          <cell r="G215" t="str">
            <v>взял аппарат для сварки ПНД труб, сдал, подписал обязательство до 22.12.2022. с января 2023 потихоньку стал рассчитываться</v>
          </cell>
        </row>
        <row r="216">
          <cell r="A216" t="str">
            <v>BILMEDI ORHAN</v>
          </cell>
          <cell r="B216" t="str">
            <v>Лермонтова 68</v>
          </cell>
          <cell r="C216" t="str">
            <v>НЕВЫДАВАТЬ</v>
          </cell>
          <cell r="D216" t="str">
            <v>Должник</v>
          </cell>
          <cell r="E216">
            <v>37000</v>
          </cell>
          <cell r="F216" t="str">
            <v>РАСЧИТАЛСЯ</v>
          </cell>
          <cell r="G216" t="str">
            <v>взял аппарат для сварки ПНД труб, сдал, подписал обязательство до 22.12.2022. с января 2023 потихоньку стал рассчитываться</v>
          </cell>
        </row>
        <row r="217">
          <cell r="A217" t="str">
            <v>Кенжебаев Канатбек Уланбекович</v>
          </cell>
          <cell r="B217" t="str">
            <v>Лермонтова 68</v>
          </cell>
          <cell r="C217" t="str">
            <v>НЕВЫДАВАТЬ</v>
          </cell>
          <cell r="D217"/>
          <cell r="E217"/>
          <cell r="F217" t="str">
            <v>РАСЧИТАЛСЯ</v>
          </cell>
          <cell r="G217" t="str">
            <v xml:space="preserve"> 0708 626 662 Поручители БИЛМЕДИ ОРХАНА долг 37000 сом</v>
          </cell>
        </row>
        <row r="218">
          <cell r="A218" t="str">
            <v>Кадырбаев Темирбек Эгенович</v>
          </cell>
          <cell r="B218" t="str">
            <v>Лермонтова 68</v>
          </cell>
          <cell r="C218" t="str">
            <v>НЕВЫДАВАТЬ</v>
          </cell>
          <cell r="D218"/>
          <cell r="E218"/>
          <cell r="F218" t="str">
            <v>РАСЧИТАЛСЯ</v>
          </cell>
          <cell r="G218" t="str">
            <v>,0500490007 Поручители БИЛМЕДИ ОРХАНА долг 37000 сом</v>
          </cell>
        </row>
        <row r="219">
          <cell r="A219" t="str">
            <v>Иноятов Улугбек Мохомадалиевич</v>
          </cell>
          <cell r="B219" t="str">
            <v>Таатан</v>
          </cell>
          <cell r="C219" t="str">
            <v>НЕВЫДАВАТЬ</v>
          </cell>
          <cell r="D219" t="str">
            <v>Должник</v>
          </cell>
          <cell r="E219">
            <v>2401</v>
          </cell>
          <cell r="F219" t="str">
            <v>Рассчитался</v>
          </cell>
          <cell r="G219" t="str">
            <v>Леса 2 секц, газовые пушки, баллоны, электротепловентиляторы, удлинитель. Сдал, потихоньку рассчитывается</v>
          </cell>
        </row>
        <row r="220">
          <cell r="A220" t="str">
            <v>Керимбек уулу Даниел</v>
          </cell>
          <cell r="B220" t="str">
            <v>Таатан</v>
          </cell>
          <cell r="C220" t="str">
            <v>НЕВЫДАВАТЬ</v>
          </cell>
          <cell r="D220" t="str">
            <v>Должник</v>
          </cell>
          <cell r="E220">
            <v>18600</v>
          </cell>
          <cell r="F220" t="str">
            <v>Нерассчитался</v>
          </cell>
          <cell r="G220" t="str">
            <v>Взял газовую пушку с баллоном, не вернул. Пустые обещания вернуть, пополнить депозит. После 08.02.2023 на звонки и сообщения не отвечает</v>
          </cell>
        </row>
        <row r="221">
          <cell r="A221" t="str">
            <v>Наталухин Виталий Николаевич</v>
          </cell>
          <cell r="B221" t="str">
            <v>Таатан</v>
          </cell>
          <cell r="C221" t="str">
            <v>НЕВЫДАВАТЬ</v>
          </cell>
          <cell r="D221" t="str">
            <v>Должник</v>
          </cell>
          <cell r="E221">
            <v>81400</v>
          </cell>
          <cell r="F221" t="str">
            <v>рассчитался</v>
          </cell>
          <cell r="G221" t="str">
            <v>взял безвоздушный краскопульт и лестницу стремянку. Краскопульт сдал, стремянку дал. Долго рассчитывался</v>
          </cell>
        </row>
        <row r="222">
          <cell r="A222" t="str">
            <v>Темирбек уулу Бакай</v>
          </cell>
          <cell r="B222" t="str">
            <v>Таатан</v>
          </cell>
          <cell r="C222" t="str">
            <v>НЕВЫДАВАТЬ</v>
          </cell>
          <cell r="D222" t="str">
            <v>Должник</v>
          </cell>
          <cell r="E222">
            <v>2400</v>
          </cell>
          <cell r="F222" t="str">
            <v>рассчитался</v>
          </cell>
          <cell r="G222" t="str">
            <v>взял компрессор 3 порш 10 Атм, сдал, не оплатил. Постоянные обещания</v>
          </cell>
        </row>
        <row r="223">
          <cell r="A223" t="str">
            <v>Янгуразов Ильшат</v>
          </cell>
          <cell r="B223" t="str">
            <v>КыргызПрокат</v>
          </cell>
          <cell r="C223" t="str">
            <v>НЕВЫДАВАТЬ</v>
          </cell>
          <cell r="D223" t="str">
            <v>Должник</v>
          </cell>
          <cell r="E223">
            <v>35000</v>
          </cell>
          <cell r="F223" t="str">
            <v>Расчилался</v>
          </cell>
          <cell r="G223" t="str">
            <v>Взял в аренду площадочную трамбовку. Инструмент вернул. Расчиталься с горем по палам. Геморойный клиент (Выдовать под полную стоимость оборудования)</v>
          </cell>
        </row>
        <row r="224">
          <cell r="A224" t="str">
            <v>Мукашов Бердибек Усонбекович</v>
          </cell>
          <cell r="B224" t="str">
            <v>Таатан</v>
          </cell>
          <cell r="C224" t="str">
            <v>НЕВЫДАВАТЬ</v>
          </cell>
          <cell r="D224" t="str">
            <v>Должник</v>
          </cell>
          <cell r="E224">
            <v>43030</v>
          </cell>
          <cell r="F224" t="str">
            <v>Нерассчитался</v>
          </cell>
          <cell r="G224" t="str">
            <v>Взял компрессор 3 поршневой 12 Атм и текстурный пистолет, сдал - обещал рассчитаться, но так и пропал</v>
          </cell>
        </row>
        <row r="225">
          <cell r="A225"/>
          <cell r="B225"/>
          <cell r="C225"/>
          <cell r="D225"/>
          <cell r="E225"/>
          <cell r="F225"/>
          <cell r="G225"/>
        </row>
        <row r="226">
          <cell r="A226"/>
          <cell r="B226"/>
          <cell r="C226"/>
          <cell r="D226"/>
          <cell r="E226"/>
          <cell r="F226"/>
          <cell r="G226"/>
        </row>
        <row r="227">
          <cell r="A227"/>
          <cell r="B227" t="str">
            <v>2023 год</v>
          </cell>
          <cell r="C227"/>
          <cell r="D227"/>
          <cell r="E227"/>
          <cell r="F227"/>
          <cell r="G227"/>
        </row>
        <row r="228">
          <cell r="A228" t="str">
            <v>Грибинюков Федор Владимирович</v>
          </cell>
          <cell r="B228" t="str">
            <v>11 мкр</v>
          </cell>
          <cell r="C228" t="str">
            <v>НЕВЫДАВАТЬ</v>
          </cell>
          <cell r="D228" t="str">
            <v>Должник</v>
          </cell>
          <cell r="E228">
            <v>7800</v>
          </cell>
          <cell r="F228" t="str">
            <v>Не расчитался</v>
          </cell>
          <cell r="G228" t="str">
            <v>Проблемный Клиент. НЕ ВЫДАВТЬ ВООБЩЕ. Опубликован ВЕЗДЕ</v>
          </cell>
        </row>
        <row r="229">
          <cell r="A229" t="str">
            <v>Янгуразов Ильшат</v>
          </cell>
          <cell r="B229" t="str">
            <v>11 мкр</v>
          </cell>
          <cell r="C229" t="str">
            <v>НЕВЫДАВАТЬ</v>
          </cell>
          <cell r="D229" t="str">
            <v>Должник</v>
          </cell>
          <cell r="E229">
            <v>51000</v>
          </cell>
          <cell r="F229" t="str">
            <v>Расчилался</v>
          </cell>
          <cell r="G229" t="str">
            <v>Взял в аренду площадочную трамбовку. Инструмент вернул. Расчиталься с горем по палам. Геморойный клиент (Выдовать под полную стоимость оборудования)</v>
          </cell>
        </row>
        <row r="230">
          <cell r="A230" t="str">
            <v xml:space="preserve">Байысов Салабат </v>
          </cell>
          <cell r="B230" t="str">
            <v>Пишпек</v>
          </cell>
          <cell r="C230"/>
          <cell r="D230"/>
          <cell r="E230"/>
          <cell r="F230" t="str">
            <v xml:space="preserve">Рассчитался </v>
          </cell>
          <cell r="G230" t="str">
            <v>Брал безводушку расчитывался очень долго. Геморойный клиент (Выдовать под полную стоимость оборудования)</v>
          </cell>
        </row>
        <row r="231">
          <cell r="A231" t="str">
            <v>Мухамедов Курманбек Нурланович</v>
          </cell>
          <cell r="B231" t="str">
            <v>Кыргыз Прокат</v>
          </cell>
          <cell r="C231" t="str">
            <v>НЕВЫДАВАТЬ</v>
          </cell>
          <cell r="D231" t="str">
            <v>Должник</v>
          </cell>
          <cell r="E231">
            <v>12500</v>
          </cell>
          <cell r="F231" t="str">
            <v xml:space="preserve">Рассчитался </v>
          </cell>
          <cell r="G231" t="str">
            <v>Должен за площадочную трамбовку бенз. Геморойный клиент (Выдовать под полную стоимость оборудования)</v>
          </cell>
        </row>
        <row r="232">
          <cell r="A232" t="str">
            <v>Эркинов Семетей Эркинович</v>
          </cell>
          <cell r="B232" t="str">
            <v>ПИШПЕК</v>
          </cell>
          <cell r="C232"/>
          <cell r="D232" t="str">
            <v>Должник</v>
          </cell>
          <cell r="E232"/>
          <cell r="F232" t="str">
            <v>Расчитался</v>
          </cell>
          <cell r="G232" t="str">
            <v xml:space="preserve">Аккуратно тяжёлый на отдачу денег.Очень долго рассчитывался. </v>
          </cell>
        </row>
        <row r="233">
          <cell r="A233" t="str">
            <v>Тологонов Нурмухамбет Маратович</v>
          </cell>
          <cell r="B233" t="str">
            <v>Пишпек</v>
          </cell>
          <cell r="C233"/>
          <cell r="D233"/>
          <cell r="E233"/>
          <cell r="F233" t="str">
            <v xml:space="preserve">Рассчитался </v>
          </cell>
          <cell r="G233" t="str">
            <v>Брал в аренду Компрессор 2-х поршневой и текстурный пистолет,оччень долго тянул с оплатой .Геморойный клиент (Выдовать под полную стоимость оборудования)</v>
          </cell>
        </row>
        <row r="234">
          <cell r="A234" t="str">
            <v xml:space="preserve">Нурланбек Уулу Акжолтой </v>
          </cell>
          <cell r="B234"/>
          <cell r="C234"/>
          <cell r="D234" t="str">
            <v xml:space="preserve">ДОЛБОЕБ </v>
          </cell>
          <cell r="E234"/>
          <cell r="F234" t="str">
            <v>Нагрубил</v>
          </cell>
          <cell r="G234" t="str">
            <v>Нагрубил</v>
          </cell>
        </row>
        <row r="235">
          <cell r="A235" t="str">
            <v>Биримбердиев Кожоберди Таалайбекович</v>
          </cell>
          <cell r="B235" t="str">
            <v>Таатан</v>
          </cell>
          <cell r="C235" t="str">
            <v>НЕВЫДАВАТЬ</v>
          </cell>
          <cell r="D235" t="str">
            <v xml:space="preserve">ДОЛБОЕБ </v>
          </cell>
          <cell r="E235"/>
          <cell r="F235"/>
          <cell r="G235" t="str">
            <v>Обзывается в соц сетях</v>
          </cell>
        </row>
        <row r="236">
          <cell r="A236" t="str">
            <v>Касыбек уулу Тилек</v>
          </cell>
          <cell r="B236" t="str">
            <v>Таатан</v>
          </cell>
          <cell r="C236" t="str">
            <v>НЕВЫДАВАТЬ</v>
          </cell>
          <cell r="D236" t="str">
            <v>Должник</v>
          </cell>
          <cell r="E236"/>
          <cell r="F236" t="str">
            <v>Не рассчитался</v>
          </cell>
          <cell r="G236" t="str">
            <v>Не вернул оборудование Взял в аренду вибратор 1,5м с последующим выкупом - оставил депозит 2 000 сом. Сначала кормил обещаниями, потом и вовсе перестал выходить на связь. Опубликован везде</v>
          </cell>
        </row>
        <row r="237">
          <cell r="A237" t="str">
            <v>Мырзатаев Ыман Алманбетович</v>
          </cell>
          <cell r="B237" t="str">
            <v>Пишпек</v>
          </cell>
          <cell r="C237" t="str">
            <v>НЕВЫДАВАТЬ</v>
          </cell>
          <cell r="D237" t="str">
            <v>Должник</v>
          </cell>
          <cell r="E237">
            <v>50600</v>
          </cell>
          <cell r="F237" t="str">
            <v>Не рассчитался</v>
          </cell>
          <cell r="G237" t="str">
            <v>Взял в аренду Балгарку 230, Трамбовку электрическую, Нивелир,удленитель .Инструмент вернул но не оплатил аренду.Пустыми обещяниями кормит по сей день .</v>
          </cell>
        </row>
        <row r="238">
          <cell r="A238" t="str">
            <v>Ашимбаев Адилет Айдарбекович</v>
          </cell>
          <cell r="B238" t="str">
            <v>Пишпек</v>
          </cell>
          <cell r="C238" t="str">
            <v>НЕВЫДАВАТЬ</v>
          </cell>
          <cell r="D238" t="str">
            <v>Должник</v>
          </cell>
          <cell r="E238">
            <v>7600</v>
          </cell>
          <cell r="F238" t="str">
            <v xml:space="preserve"> Рассчитался</v>
          </cell>
          <cell r="G238" t="str">
            <v>Брал в аренду Компрессор 2-х поршневой ,инструмент вернул не оплатил аренду . (Выдовать под полную стоимость оборудования)</v>
          </cell>
        </row>
        <row r="239">
          <cell r="A239" t="str">
            <v>Абдыров Кайырбек Нурбекович</v>
          </cell>
          <cell r="B239" t="str">
            <v>11 мкр</v>
          </cell>
          <cell r="C239" t="str">
            <v>НЕВЫДАВАТЬ</v>
          </cell>
          <cell r="D239" t="str">
            <v>Должник</v>
          </cell>
          <cell r="E239">
            <v>24200</v>
          </cell>
          <cell r="F239" t="str">
            <v>Не рассчитался</v>
          </cell>
          <cell r="G239" t="str">
            <v>Взял Перфоратор Кроун сдал нерасчитался</v>
          </cell>
        </row>
        <row r="240">
          <cell r="A240" t="str">
            <v>Сабыр кызы Айгерим</v>
          </cell>
          <cell r="B240" t="str">
            <v>11 мкр</v>
          </cell>
          <cell r="C240" t="str">
            <v>НЕВЫДАВАТЬ</v>
          </cell>
          <cell r="D240" t="str">
            <v>Должник</v>
          </cell>
          <cell r="E240">
            <v>13100</v>
          </cell>
          <cell r="F240" t="str">
            <v>Расчитались</v>
          </cell>
          <cell r="G240" t="str">
            <v>Нет оснований неправильно составили договор взяли Попользовались неоплатили</v>
          </cell>
        </row>
        <row r="241">
          <cell r="A241" t="str">
            <v>Сабыр уулу Медер</v>
          </cell>
          <cell r="B241" t="str">
            <v>11 мкр</v>
          </cell>
          <cell r="C241" t="str">
            <v>НЕВЫДАВАТЬ</v>
          </cell>
          <cell r="D241" t="str">
            <v>Должник</v>
          </cell>
          <cell r="E241">
            <v>13100</v>
          </cell>
          <cell r="F241" t="str">
            <v>Расчитались</v>
          </cell>
          <cell r="G241" t="str">
            <v>Нет оснований неправильно составили договор взяли Попользовались неоплатили</v>
          </cell>
        </row>
        <row r="242">
          <cell r="A242" t="str">
            <v>Юрьев Михаил Александрович</v>
          </cell>
          <cell r="B242" t="str">
            <v>Лермонтова 68</v>
          </cell>
          <cell r="C242" t="str">
            <v>НЕВЫДАВАТЬ</v>
          </cell>
          <cell r="D242" t="str">
            <v>Должник</v>
          </cell>
          <cell r="E242">
            <v>7100</v>
          </cell>
          <cell r="F242" t="str">
            <v>Не рассчитался</v>
          </cell>
          <cell r="G242" t="str">
            <v>Взял компрессор 3 порш 12 Атм и текстурный пистлет, не оплатил</v>
          </cell>
        </row>
        <row r="243">
          <cell r="A243" t="str">
            <v>Кадралиев Бакыт Рыспекович</v>
          </cell>
          <cell r="B243" t="str">
            <v>Лермонтова 68</v>
          </cell>
          <cell r="C243" t="str">
            <v>НЕВЫДАВАТЬ</v>
          </cell>
          <cell r="D243" t="str">
            <v>Должник</v>
          </cell>
          <cell r="E243">
            <v>400</v>
          </cell>
          <cell r="F243" t="str">
            <v>Не рассчитался</v>
          </cell>
          <cell r="G243" t="str">
            <v>взял перфоратор Старк, не оплатил</v>
          </cell>
        </row>
        <row r="244">
          <cell r="A244" t="str">
            <v>Камбаралиев Кубатбек Абдылдаевич</v>
          </cell>
          <cell r="B244" t="str">
            <v>Лермонтова 68</v>
          </cell>
          <cell r="C244" t="str">
            <v>НЕВЫДАВАТЬ</v>
          </cell>
          <cell r="D244" t="str">
            <v>Должник</v>
          </cell>
          <cell r="E244">
            <v>10400</v>
          </cell>
          <cell r="F244" t="str">
            <v>Рассчитался</v>
          </cell>
          <cell r="G244" t="str">
            <v>С 21.06.2023 по 30.09.2023 брал леса, Болгарку 125, Перфоратор Анкор, Дель, бетономешалку, Шуруповерт, удлинитель, миксер. Все сдал кроме 1-й раскосины.  оплатил</v>
          </cell>
        </row>
        <row r="245">
          <cell r="A245" t="str">
            <v>Нурбеков Иса Нурбекович</v>
          </cell>
          <cell r="B245" t="str">
            <v>Лермонтова 68</v>
          </cell>
          <cell r="C245" t="str">
            <v>НЕВЫДАВАТЬ</v>
          </cell>
          <cell r="D245" t="str">
            <v>Должник</v>
          </cell>
          <cell r="E245">
            <v>3700</v>
          </cell>
          <cell r="F245" t="str">
            <v>Не рассчитался</v>
          </cell>
          <cell r="G245" t="str">
            <v>Взял компрессор 1 поршневой 50л и покрасочный пистолет. Не оплатил. (Когда-то работал у нас в бригаде долбежников)</v>
          </cell>
        </row>
        <row r="246">
          <cell r="A246" t="str">
            <v>Садыков Ахмаджон Анварович</v>
          </cell>
          <cell r="B246" t="str">
            <v>Лермонтова 68</v>
          </cell>
          <cell r="C246" t="str">
            <v>НЕВЫДАВАТЬ</v>
          </cell>
          <cell r="D246" t="str">
            <v>Должник</v>
          </cell>
          <cell r="E246">
            <v>5855</v>
          </cell>
          <cell r="F246" t="str">
            <v>Не рассчитался</v>
          </cell>
          <cell r="G246" t="str">
            <v>Газовую пушку РЕСАНТА, перфоратор Старк и по просьбе Ахмаджона его работник взял Газпушку Ролф. Все вернули. Не оплатили</v>
          </cell>
        </row>
        <row r="247">
          <cell r="A247" t="str">
            <v xml:space="preserve">Сайдылдаев Рамазан Мухиддинович </v>
          </cell>
          <cell r="B247" t="str">
            <v>Лермонтова 68</v>
          </cell>
          <cell r="C247" t="str">
            <v>НЕВЫДАВАТЬ</v>
          </cell>
          <cell r="D247" t="str">
            <v>Должник</v>
          </cell>
          <cell r="E247">
            <v>14500</v>
          </cell>
          <cell r="F247" t="str">
            <v>Рассчитался</v>
          </cell>
          <cell r="G247" t="str">
            <v>Взял аппарат для сварки ПНД труб и компрессор 3 порш 10 Атм. Всё сдал. Оплатил почти через год</v>
          </cell>
        </row>
        <row r="248">
          <cell r="A248" t="str">
            <v>Халилов Шамистан Рафикович</v>
          </cell>
          <cell r="B248" t="str">
            <v>Лермонтова 68</v>
          </cell>
          <cell r="C248"/>
          <cell r="D248" t="str">
            <v>Должник</v>
          </cell>
          <cell r="E248">
            <v>14501</v>
          </cell>
          <cell r="F248" t="str">
            <v>Не рассчитался</v>
          </cell>
          <cell r="G248" t="str">
            <v>Взял трамбовку площадочную Элитех, сдал. Не оплатил</v>
          </cell>
        </row>
        <row r="249">
          <cell r="A249" t="str">
            <v>Эргешов Дастанбек Исманалыевич</v>
          </cell>
          <cell r="B249" t="str">
            <v>Лермонтова 68</v>
          </cell>
          <cell r="C249" t="str">
            <v>НЕВЫДАВАТЬ</v>
          </cell>
          <cell r="D249" t="str">
            <v>Должник</v>
          </cell>
          <cell r="E249">
            <v>113500</v>
          </cell>
          <cell r="F249" t="str">
            <v>Не сдал оборуд</v>
          </cell>
          <cell r="G249" t="str">
            <v>Взял болгарку, не сдал. Пустые обещания. На 22.07.2027 - задолженность составляет 113500сом</v>
          </cell>
        </row>
        <row r="250">
          <cell r="A250" t="str">
            <v>Атаканов Касымбек Асилбекович</v>
          </cell>
          <cell r="B250" t="str">
            <v>Лермонтова 68</v>
          </cell>
          <cell r="C250" t="str">
            <v>НЕВЫДАВАТЬ</v>
          </cell>
          <cell r="D250" t="str">
            <v>Должник</v>
          </cell>
          <cell r="E250">
            <v>12565</v>
          </cell>
          <cell r="F250" t="str">
            <v xml:space="preserve"> рассчитался</v>
          </cell>
          <cell r="G250" t="str">
            <v>Взял углорез Инко 300, сдал. Не оплатил полностью - потихоньку расчитывается</v>
          </cell>
        </row>
        <row r="251">
          <cell r="A251" t="str">
            <v>Касымов Алишер Нурматович</v>
          </cell>
          <cell r="B251" t="str">
            <v>Лермонтова 68</v>
          </cell>
          <cell r="C251" t="str">
            <v>НЕВЫДАВАТЬ</v>
          </cell>
          <cell r="D251" t="str">
            <v>Должник</v>
          </cell>
          <cell r="E251">
            <v>16600</v>
          </cell>
          <cell r="F251" t="str">
            <v>Не сдал оборуд</v>
          </cell>
          <cell r="G251" t="str">
            <v>Взял в аренду сварку полуавтомат черную + баллон и компрессор 3 порш 12 Атм. Компрессор сдал, сарку с баллоном у него украли. Обещает постепенно выплатить стоимость оборудования и погасить задолженность, но пока не начал выплачивать.</v>
          </cell>
        </row>
        <row r="252">
          <cell r="A252" t="str">
            <v>Карыбеков Жалын Тансейидович</v>
          </cell>
          <cell r="B252" t="str">
            <v>Лермонтова 68</v>
          </cell>
          <cell r="C252" t="str">
            <v>НЕВЫДАВАТЬ</v>
          </cell>
          <cell r="D252" t="str">
            <v>Должник</v>
          </cell>
          <cell r="E252">
            <v>30000</v>
          </cell>
          <cell r="F252" t="str">
            <v>Не рассчитался</v>
          </cell>
          <cell r="G252" t="str">
            <v>Взял в аренду асфальторез с диском, не оплатил.</v>
          </cell>
        </row>
        <row r="253">
          <cell r="A253" t="str">
            <v>Нурдинов Азим Нурдинович</v>
          </cell>
          <cell r="B253" t="str">
            <v>11мкр</v>
          </cell>
          <cell r="C253" t="str">
            <v>НЕВЫДАВАТЬ</v>
          </cell>
          <cell r="D253" t="str">
            <v>Должник</v>
          </cell>
          <cell r="E253">
            <v>1500</v>
          </cell>
          <cell r="F253" t="str">
            <v>Не рассчитался</v>
          </cell>
          <cell r="G253" t="str">
            <v>Нурдинов Азим Нурдинович Взял в аренду Установку алмазного бурения(стандарт) Взял 24.11.2023г Вернул 4.12.2023 Обещал расплатиться до 31.12.2023т После нг совсем пропал, уведомления и смс читает, но никак не реагирует Общий долг 15000 сом Депозит 4500 сом</v>
          </cell>
        </row>
        <row r="254">
          <cell r="A254" t="str">
            <v>Шерали уулу Мунарбек</v>
          </cell>
          <cell r="B254" t="str">
            <v>Пишпек</v>
          </cell>
          <cell r="C254" t="str">
            <v>Задержать</v>
          </cell>
          <cell r="D254" t="str">
            <v>Должник</v>
          </cell>
          <cell r="E254">
            <v>210400</v>
          </cell>
          <cell r="F254" t="str">
            <v>Не сдал оборуд</v>
          </cell>
          <cell r="G254" t="str">
            <v>Взял в аренду Генератор 5.5кВт Артлайн и Отбойный молоток Толсен и пропал. Долг по аренде 133400 сом плюс стоимость оборудования 77000 сом итого:210400 сом (Подали в суд)</v>
          </cell>
        </row>
        <row r="255">
          <cell r="A255" t="str">
            <v>Селезнев Руслан Степанович</v>
          </cell>
          <cell r="B255"/>
          <cell r="C255"/>
          <cell r="D255" t="str">
            <v>Должник</v>
          </cell>
          <cell r="E255"/>
          <cell r="F255"/>
          <cell r="G255"/>
        </row>
        <row r="256">
          <cell r="A256" t="str">
            <v>Каликазиев Жаныбек Куванович</v>
          </cell>
          <cell r="B256" t="str">
            <v>11 мкр</v>
          </cell>
          <cell r="C256" t="str">
            <v>НЕВЫДАВАТЬ</v>
          </cell>
          <cell r="D256" t="str">
            <v>Должник</v>
          </cell>
          <cell r="E256">
            <v>10800</v>
          </cell>
          <cell r="F256" t="str">
            <v>Не рассчитался</v>
          </cell>
          <cell r="G256" t="str">
            <v>Постоянные пустые обещания</v>
          </cell>
        </row>
        <row r="257">
          <cell r="A257" t="str">
            <v>Xalikov Muxamad Orinbayevich</v>
          </cell>
          <cell r="B257" t="str">
            <v>11 мкр</v>
          </cell>
          <cell r="C257" t="str">
            <v>НЕВЫДАВАТЬ</v>
          </cell>
          <cell r="D257" t="str">
            <v>Должник</v>
          </cell>
          <cell r="E257">
            <v>11500</v>
          </cell>
          <cell r="F257" t="str">
            <v>Не сдал оборуд</v>
          </cell>
          <cell r="G257" t="str">
            <v>Взял углорез и пропал с ним</v>
          </cell>
        </row>
        <row r="258">
          <cell r="A258" t="str">
            <v>Халиков Мухамад Оринбаевич</v>
          </cell>
          <cell r="B258" t="str">
            <v>11 мкр</v>
          </cell>
          <cell r="C258" t="str">
            <v>НЕВЫДАВАТЬ</v>
          </cell>
          <cell r="D258" t="str">
            <v>Должник</v>
          </cell>
          <cell r="E258">
            <v>11500</v>
          </cell>
          <cell r="F258" t="str">
            <v>Не сдал оборуд</v>
          </cell>
          <cell r="G258" t="str">
            <v>Взял углорез и пропал с ним</v>
          </cell>
        </row>
        <row r="259">
          <cell r="A259" t="str">
            <v>Кенжеев Аллаберди Эрназарович</v>
          </cell>
          <cell r="B259" t="str">
            <v>11 мкр</v>
          </cell>
          <cell r="C259" t="str">
            <v>НЕВЫДАВАТЬ</v>
          </cell>
          <cell r="D259" t="str">
            <v>Должник</v>
          </cell>
          <cell r="E259">
            <v>6800</v>
          </cell>
          <cell r="F259" t="str">
            <v>Не рассчитался</v>
          </cell>
          <cell r="G259" t="str">
            <v>Здал с горем попалам перфоратор не оплатил за прокат</v>
          </cell>
        </row>
        <row r="260">
          <cell r="A260" t="str">
            <v>Абдиллаев Медетбек Акимович</v>
          </cell>
          <cell r="B260" t="str">
            <v>Пишпек</v>
          </cell>
          <cell r="C260" t="str">
            <v>Задержать</v>
          </cell>
          <cell r="D260" t="str">
            <v>Должник</v>
          </cell>
          <cell r="E260">
            <v>113000</v>
          </cell>
          <cell r="F260" t="str">
            <v>Не сдал оборуд</v>
          </cell>
          <cell r="G260" t="str">
            <v>Взял в аренду Генератор 5.5кВт Кемадж и пропал (Вор) Долг по аренде генератоа 63000 сом плюс стоимость генератора 50000 сом итого: 113000 сом. (Подали в суд)</v>
          </cell>
        </row>
        <row r="261">
          <cell r="A261" t="str">
            <v>Болотбек уулу Онолбек</v>
          </cell>
          <cell r="B261" t="str">
            <v>11 мкр</v>
          </cell>
          <cell r="C261" t="str">
            <v>НЕВЫДАВАТЬ</v>
          </cell>
          <cell r="D261" t="str">
            <v>Должник</v>
          </cell>
          <cell r="E261">
            <v>15000</v>
          </cell>
          <cell r="F261" t="str">
            <v>Не сдал оборуд</v>
          </cell>
          <cell r="G261" t="str">
            <v>Должен Извенится ОСКОРБИЛ ШЕФА в ватсап Унизил честь и Достоинство</v>
          </cell>
        </row>
        <row r="262">
          <cell r="A262" t="str">
            <v>Бабаев Дилшод Нематович</v>
          </cell>
          <cell r="B262" t="str">
            <v>11 мкр</v>
          </cell>
          <cell r="C262" t="str">
            <v>НЕВЫДАВАТЬ</v>
          </cell>
          <cell r="D262" t="str">
            <v>Должник</v>
          </cell>
          <cell r="E262">
            <v>37100</v>
          </cell>
          <cell r="F262" t="str">
            <v>Не сдал оборуд</v>
          </cell>
          <cell r="G262" t="str">
            <v>Полный дол…б не выдавать только под полную стоимость взял компрессор и пропал вместе с ним</v>
          </cell>
        </row>
        <row r="263">
          <cell r="A263" t="str">
            <v>Мамутов Шахзад Маьруфжонович</v>
          </cell>
          <cell r="B263" t="str">
            <v>11 мкр</v>
          </cell>
          <cell r="C263" t="str">
            <v>НЕВЫДАВАТЬ</v>
          </cell>
          <cell r="D263" t="str">
            <v>Должник</v>
          </cell>
          <cell r="E263">
            <v>11500</v>
          </cell>
          <cell r="F263" t="str">
            <v>Не рассчитался</v>
          </cell>
          <cell r="G263" t="str">
            <v>Постоянные пустые обещания</v>
          </cell>
        </row>
        <row r="264">
          <cell r="A264" t="str">
            <v>Ибрагимов Эмилбек Абдисаидович</v>
          </cell>
          <cell r="B264" t="str">
            <v>11 мкр</v>
          </cell>
          <cell r="C264" t="str">
            <v>НЕВЫДАВАТЬ</v>
          </cell>
          <cell r="D264" t="str">
            <v>Должник</v>
          </cell>
          <cell r="E264">
            <v>0</v>
          </cell>
          <cell r="F264" t="str">
            <v>РАСЧИТАЛСЯ</v>
          </cell>
          <cell r="G264" t="str">
            <v xml:space="preserve"> С Горем попалам</v>
          </cell>
        </row>
        <row r="265">
          <cell r="A265" t="str">
            <v>Султанбек Уулу Мамашарип</v>
          </cell>
          <cell r="B265" t="str">
            <v>Пишпек</v>
          </cell>
          <cell r="C265" t="str">
            <v>НЕВЫДАВАТЬ</v>
          </cell>
          <cell r="D265" t="str">
            <v>Должник</v>
          </cell>
          <cell r="E265">
            <v>2000</v>
          </cell>
          <cell r="F265" t="str">
            <v>РАСЧИТАЛСЯ</v>
          </cell>
          <cell r="G265" t="str">
            <v xml:space="preserve"> С Горем попалам</v>
          </cell>
        </row>
        <row r="266">
          <cell r="A266" t="str">
            <v xml:space="preserve">Садабаев Кубатбек Эркинбекович </v>
          </cell>
          <cell r="B266" t="str">
            <v>Лермонтова 68</v>
          </cell>
          <cell r="C266" t="str">
            <v>НЕВЫДАВАТЬ</v>
          </cell>
          <cell r="D266" t="str">
            <v>Должник</v>
          </cell>
          <cell r="E266">
            <v>8380</v>
          </cell>
          <cell r="F266" t="str">
            <v>Не рассчитался</v>
          </cell>
          <cell r="G266" t="str">
            <v xml:space="preserve">В суд  взяли тельфер испортили трос, сломали коробку конденсатора и пульт управления </v>
          </cell>
        </row>
        <row r="267">
          <cell r="A267" t="str">
            <v xml:space="preserve">Осмонбеков Орозбай Абдурашидович </v>
          </cell>
          <cell r="B267" t="str">
            <v>Лермонтова 68</v>
          </cell>
          <cell r="C267" t="str">
            <v>НЕВЫДАВАТЬ</v>
          </cell>
          <cell r="D267" t="str">
            <v>Должник</v>
          </cell>
          <cell r="E267">
            <v>7100</v>
          </cell>
          <cell r="F267" t="str">
            <v>Не рассчитался</v>
          </cell>
          <cell r="G267" t="str">
            <v>В суд привез таксист, не привезли 2 ключа на 19</v>
          </cell>
        </row>
        <row r="268">
          <cell r="A268" t="str">
            <v>Толкомбаев КайратКаныбекович</v>
          </cell>
          <cell r="B268" t="str">
            <v>Лермонтова 68</v>
          </cell>
          <cell r="C268" t="str">
            <v>НЕВЫДАВАТЬ</v>
          </cell>
          <cell r="D268" t="str">
            <v>Должник</v>
          </cell>
          <cell r="E268">
            <v>4900</v>
          </cell>
          <cell r="F268" t="str">
            <v>Не рассчитался</v>
          </cell>
          <cell r="G268" t="str">
            <v>когда обещал: до конца июня 2024 года пропал</v>
          </cell>
        </row>
        <row r="269">
          <cell r="A269" t="str">
            <v>Абдыкулов Султанбек Сапарович</v>
          </cell>
          <cell r="B269" t="str">
            <v>Лермонтова 68</v>
          </cell>
          <cell r="C269" t="str">
            <v>НЕВЫДАВАТЬ</v>
          </cell>
          <cell r="D269" t="str">
            <v>Должник</v>
          </cell>
          <cell r="E269">
            <v>500</v>
          </cell>
          <cell r="F269" t="str">
            <v>Не рассчитался</v>
          </cell>
          <cell r="G269" t="str">
            <v xml:space="preserve">Долг 500 сом </v>
          </cell>
        </row>
        <row r="270">
          <cell r="A270" t="str">
            <v>Мокишев Улан Женишбекович</v>
          </cell>
          <cell r="B270" t="str">
            <v>Лермонтова 68</v>
          </cell>
          <cell r="C270" t="str">
            <v>НЕВЫДАВАТЬ</v>
          </cell>
          <cell r="D270" t="str">
            <v>Должник</v>
          </cell>
          <cell r="E270">
            <v>68550</v>
          </cell>
          <cell r="F270" t="str">
            <v>Не рассчитался</v>
          </cell>
          <cell r="G270"/>
        </row>
        <row r="271">
          <cell r="A271" t="str">
            <v>Сагыналиев Бакыт Тынайбекович</v>
          </cell>
          <cell r="B271" t="str">
            <v>Лермонтова 68</v>
          </cell>
          <cell r="C271" t="str">
            <v>НЕВЫДАВАТЬ</v>
          </cell>
          <cell r="D271" t="str">
            <v>Должник</v>
          </cell>
          <cell r="E271">
            <v>68550</v>
          </cell>
          <cell r="F271" t="str">
            <v>Не рассчитался</v>
          </cell>
          <cell r="G271"/>
        </row>
        <row r="272">
          <cell r="A272" t="str">
            <v>Смирнов Сергей Юрьевич</v>
          </cell>
          <cell r="B272" t="str">
            <v>Лермонтова 68</v>
          </cell>
          <cell r="C272" t="str">
            <v>НЕВЫДАВАТЬ</v>
          </cell>
          <cell r="D272" t="str">
            <v>Должник</v>
          </cell>
          <cell r="E272">
            <v>71400</v>
          </cell>
          <cell r="F272" t="str">
            <v>Не рассчитался</v>
          </cell>
          <cell r="G272"/>
        </row>
        <row r="273">
          <cell r="A273" t="str">
            <v>Саутов Инамжан Азимжанович</v>
          </cell>
          <cell r="B273" t="str">
            <v>Лермонтова 68</v>
          </cell>
          <cell r="C273" t="str">
            <v>НЕВЫДАВАТЬ</v>
          </cell>
          <cell r="D273" t="str">
            <v>Должник</v>
          </cell>
          <cell r="E273">
            <v>4300</v>
          </cell>
          <cell r="F273" t="str">
            <v>РАСЧИТАЛСЯ</v>
          </cell>
          <cell r="G273" t="str">
            <v>РАСЧИТАЛСЯ</v>
          </cell>
        </row>
        <row r="274">
          <cell r="A274" t="str">
            <v>Джунушев Эдильбек Саламатович</v>
          </cell>
          <cell r="B274" t="str">
            <v>11 мкр</v>
          </cell>
          <cell r="C274" t="str">
            <v>НЕВЫДАВАТЬ</v>
          </cell>
          <cell r="D274" t="str">
            <v>Должник</v>
          </cell>
          <cell r="E274">
            <v>18000</v>
          </cell>
          <cell r="F274" t="str">
            <v>РАСЧИТАЛСЯ</v>
          </cell>
          <cell r="G274" t="str">
            <v xml:space="preserve"> С Горем попалам только под полную стоимость</v>
          </cell>
        </row>
        <row r="275">
          <cell r="A275" t="str">
            <v>Борубеков Алмазбек Маляевич</v>
          </cell>
          <cell r="B275" t="str">
            <v>Лермонтова 68</v>
          </cell>
          <cell r="C275" t="str">
            <v>ОСТОРОЖНО</v>
          </cell>
          <cell r="D275" t="str">
            <v>Должник</v>
          </cell>
          <cell r="E275">
            <v>4650</v>
          </cell>
          <cell r="F275" t="str">
            <v>РАСЧИТАЛСЯ</v>
          </cell>
          <cell r="G275" t="str">
            <v xml:space="preserve"> С Горем попалам только под полную стоимость</v>
          </cell>
        </row>
        <row r="276">
          <cell r="A276" t="str">
            <v>Рамазанов Гасан Омарович</v>
          </cell>
          <cell r="B276" t="str">
            <v>Лермонтова 68</v>
          </cell>
          <cell r="C276" t="str">
            <v>НЕВЫДАВАТЬ</v>
          </cell>
          <cell r="D276" t="str">
            <v>Должник</v>
          </cell>
          <cell r="E276">
            <v>55405</v>
          </cell>
          <cell r="F276" t="str">
            <v>Не рассчитался</v>
          </cell>
          <cell r="G276" t="str">
            <v xml:space="preserve"> С Горем попалам вернул оборудование не расчитался</v>
          </cell>
        </row>
        <row r="277">
          <cell r="A277" t="str">
            <v>Байжигитов Джакшылык Байжигитович</v>
          </cell>
          <cell r="B277" t="str">
            <v>Лермонтова 68</v>
          </cell>
          <cell r="C277" t="str">
            <v>НЕВЫДАВАТЬ</v>
          </cell>
          <cell r="D277" t="str">
            <v>Должник</v>
          </cell>
          <cell r="E277">
            <v>29000</v>
          </cell>
          <cell r="F277" t="str">
            <v>Не сдал оборудование</v>
          </cell>
          <cell r="G277" t="str">
            <v>Не сдал оборудование Нивелир долг на 18.07.2024 29000сом</v>
          </cell>
        </row>
        <row r="278">
          <cell r="A278" t="str">
            <v>Алымбек уулу Самат</v>
          </cell>
          <cell r="B278" t="str">
            <v>Лермонтова 68</v>
          </cell>
          <cell r="C278" t="str">
            <v>НЕВЫДАВАТЬ</v>
          </cell>
          <cell r="D278" t="str">
            <v>Должник</v>
          </cell>
          <cell r="E278">
            <v>3000</v>
          </cell>
          <cell r="F278" t="str">
            <v>РАСЧИТАЛСЯ</v>
          </cell>
          <cell r="G278" t="str">
            <v>РАСЧИТАЛСЯ</v>
          </cell>
        </row>
        <row r="279">
          <cell r="A279" t="str">
            <v>Кыдралиев Мыктыбек Аскарович</v>
          </cell>
          <cell r="B279" t="str">
            <v>Лермонтова 68</v>
          </cell>
          <cell r="C279" t="str">
            <v>НЕВЫДАВАТЬ</v>
          </cell>
          <cell r="D279" t="str">
            <v>Должник</v>
          </cell>
          <cell r="E279">
            <v>86600</v>
          </cell>
          <cell r="F279" t="str">
            <v>Не рассчитался</v>
          </cell>
          <cell r="G279" t="str">
            <v>Не вернул 6 секций лессов</v>
          </cell>
        </row>
        <row r="280">
          <cell r="A280" t="str">
            <v>Жаныбек уулу Сыймык</v>
          </cell>
          <cell r="B280" t="str">
            <v>Лермонтова 68</v>
          </cell>
          <cell r="C280" t="str">
            <v>НЕВЫДАВАТЬ</v>
          </cell>
          <cell r="D280" t="str">
            <v>Должник</v>
          </cell>
          <cell r="E280">
            <v>28000</v>
          </cell>
          <cell r="F280" t="str">
            <v>Не рассчитался</v>
          </cell>
          <cell r="G280" t="str">
            <v>Сдал но нерасчитался 28000 сом</v>
          </cell>
        </row>
        <row r="281">
          <cell r="A281" t="str">
            <v>Тахтыев Рамазан Рустамович</v>
          </cell>
          <cell r="B281" t="str">
            <v>Лермонтова 68</v>
          </cell>
          <cell r="C281" t="str">
            <v>НЕВЫДАВАТЬ</v>
          </cell>
          <cell r="D281" t="str">
            <v>Должник</v>
          </cell>
          <cell r="E281">
            <v>39900</v>
          </cell>
          <cell r="F281" t="str">
            <v>рассчитался</v>
          </cell>
          <cell r="G281" t="str">
            <v>Сдал но нерасчитался 39900сом</v>
          </cell>
        </row>
        <row r="282">
          <cell r="A282" t="str">
            <v>Алиев Жавохир Бахтиерович</v>
          </cell>
          <cell r="B282" t="str">
            <v>11 мкр</v>
          </cell>
          <cell r="C282" t="str">
            <v>НЕВЫДАВАТЬ</v>
          </cell>
          <cell r="D282" t="str">
            <v>Должник</v>
          </cell>
          <cell r="E282" t="str">
            <v>НЕВЫДАВАТЬ</v>
          </cell>
          <cell r="F282" t="str">
            <v>НЕВЫДАВАТЬ</v>
          </cell>
          <cell r="G282" t="str">
            <v>Работает с Бабаевым невыдовать только под полную стоимость</v>
          </cell>
        </row>
        <row r="283">
          <cell r="A283" t="str">
            <v xml:space="preserve">Глебов Павел Викторович </v>
          </cell>
          <cell r="B283" t="str">
            <v>Лермонтова 68</v>
          </cell>
          <cell r="C283" t="str">
            <v>НЕВЫДАВАТЬ</v>
          </cell>
          <cell r="D283" t="str">
            <v>Должник</v>
          </cell>
          <cell r="E283">
            <v>1350</v>
          </cell>
          <cell r="F283" t="str">
            <v>Не рассчитался</v>
          </cell>
          <cell r="G283" t="str">
            <v>Сдал но нерасчитался 1350 сом</v>
          </cell>
        </row>
        <row r="284">
          <cell r="A284" t="str">
            <v>Мураталиев Нурболот Альбертович</v>
          </cell>
          <cell r="B284" t="str">
            <v>Лермонтова 68</v>
          </cell>
          <cell r="C284" t="str">
            <v>НЕВЫДАВАТЬ</v>
          </cell>
          <cell r="D284" t="str">
            <v>Должник</v>
          </cell>
          <cell r="E284" t="str">
            <v>97800 сом</v>
          </cell>
          <cell r="F284" t="str">
            <v>Не рассчитался</v>
          </cell>
          <cell r="G284" t="str">
            <v>Сдал но нерасчитался 97800 сом</v>
          </cell>
        </row>
        <row r="285">
          <cell r="A285" t="str">
            <v>Бактыбеков Нургазы Бактыбекович</v>
          </cell>
          <cell r="B285" t="str">
            <v>11 мкр</v>
          </cell>
          <cell r="C285"/>
          <cell r="D285"/>
          <cell r="E285">
            <v>5710</v>
          </cell>
          <cell r="F285" t="str">
            <v>Расчитался</v>
          </cell>
          <cell r="G285" t="str">
            <v>Расситался</v>
          </cell>
        </row>
        <row r="286">
          <cell r="A286" t="str">
            <v>Боронбаев Тилек Турарбекович</v>
          </cell>
          <cell r="B286" t="str">
            <v>Лермонтова 68</v>
          </cell>
          <cell r="C286" t="str">
            <v>НЕВЫДАВАТЬ</v>
          </cell>
          <cell r="D286" t="str">
            <v>Должник</v>
          </cell>
          <cell r="E286">
            <v>10430</v>
          </cell>
          <cell r="F286" t="str">
            <v>Не рассчитался</v>
          </cell>
          <cell r="G286" t="str">
            <v>Сдал но нерасчитался 10430 сом</v>
          </cell>
        </row>
        <row r="287">
          <cell r="A287" t="str">
            <v>Джунушев Эдилбек Саламатович</v>
          </cell>
          <cell r="B287" t="str">
            <v>11 мкр</v>
          </cell>
          <cell r="C287" t="str">
            <v>НЕВЫДАВАТЬ</v>
          </cell>
          <cell r="D287" t="str">
            <v>Должник</v>
          </cell>
          <cell r="E287">
            <v>0</v>
          </cell>
          <cell r="F287" t="str">
            <v>Расчитался</v>
          </cell>
          <cell r="G287" t="str">
            <v>Расчитался</v>
          </cell>
        </row>
        <row r="288">
          <cell r="A288" t="str">
            <v>Кадыркулов Алмаз Шекербекович</v>
          </cell>
          <cell r="B288" t="str">
            <v>Лермонтова 68</v>
          </cell>
          <cell r="C288" t="str">
            <v>НЕВЫДАВАТЬ</v>
          </cell>
          <cell r="D288" t="str">
            <v>Должник</v>
          </cell>
          <cell r="E288">
            <v>26560</v>
          </cell>
          <cell r="F288" t="str">
            <v>Не рассчитался</v>
          </cell>
          <cell r="G288" t="str">
            <v>Сдал но нерасчитался 26560 сом</v>
          </cell>
        </row>
        <row r="289">
          <cell r="A289" t="str">
            <v>Кулмурзаев Азамат Садырбекович</v>
          </cell>
          <cell r="B289" t="str">
            <v>11 мкр</v>
          </cell>
          <cell r="C289" t="str">
            <v>НЕВЫДАВАТЬ</v>
          </cell>
          <cell r="D289" t="str">
            <v>Должник</v>
          </cell>
          <cell r="E289">
            <v>6852</v>
          </cell>
          <cell r="F289" t="str">
            <v>Расчитался</v>
          </cell>
          <cell r="G289" t="str">
            <v>Расчитался с горем попалам</v>
          </cell>
        </row>
        <row r="290">
          <cell r="A290" t="str">
            <v>Мокишов Улан Женишбекович</v>
          </cell>
          <cell r="B290" t="str">
            <v>Лермонтова 68</v>
          </cell>
          <cell r="C290" t="str">
            <v>НЕВЫДАВАТЬ</v>
          </cell>
          <cell r="D290" t="str">
            <v>Должник</v>
          </cell>
          <cell r="E290">
            <v>67050</v>
          </cell>
          <cell r="F290" t="str">
            <v>Не рассчитался</v>
          </cell>
          <cell r="G290" t="str">
            <v>Сдал но нерасчитался 67000 сом</v>
          </cell>
        </row>
        <row r="291">
          <cell r="A291" t="str">
            <v xml:space="preserve">Осмонбеков Орозбай Абдурашидович </v>
          </cell>
          <cell r="B291" t="str">
            <v>Лермонтова 68</v>
          </cell>
          <cell r="C291" t="str">
            <v>НЕВЫДАВАТЬ</v>
          </cell>
          <cell r="D291" t="str">
            <v>Должник</v>
          </cell>
          <cell r="E291">
            <v>6500</v>
          </cell>
          <cell r="F291" t="str">
            <v>Не рассчитался</v>
          </cell>
          <cell r="G291" t="str">
            <v>Сдал но нерасчитался 6500 сом</v>
          </cell>
        </row>
        <row r="292">
          <cell r="A292" t="str">
            <v>Осмонов Калыбек Кадырбердиевич</v>
          </cell>
          <cell r="B292" t="str">
            <v>11 мкр</v>
          </cell>
          <cell r="C292" t="str">
            <v>НЕВЫДАВАТЬ</v>
          </cell>
          <cell r="D292" t="str">
            <v>Должник</v>
          </cell>
          <cell r="E292">
            <v>21400</v>
          </cell>
          <cell r="F292" t="str">
            <v>Не рассчитался</v>
          </cell>
          <cell r="G292" t="str">
            <v>Сдал но нерасчитался 21400 сом</v>
          </cell>
        </row>
        <row r="293">
          <cell r="A293" t="str">
            <v>Сардарбеков Марат Кылычбекович</v>
          </cell>
          <cell r="B293" t="str">
            <v>Лермонтова 68</v>
          </cell>
          <cell r="C293" t="str">
            <v>НЕВЫДАВАТЬ</v>
          </cell>
          <cell r="D293" t="str">
            <v>Должник</v>
          </cell>
          <cell r="E293">
            <v>1600</v>
          </cell>
          <cell r="F293" t="str">
            <v>Не рассчитался</v>
          </cell>
          <cell r="G293" t="str">
            <v>Сдал но нерасчитался 1600 сом</v>
          </cell>
        </row>
        <row r="294">
          <cell r="A294" t="str">
            <v>Сарыгулов Элдияр Дайырбекович</v>
          </cell>
          <cell r="B294" t="str">
            <v>Лермонтова 68</v>
          </cell>
          <cell r="C294" t="str">
            <v>НЕВЫДАВАТЬ</v>
          </cell>
          <cell r="D294" t="str">
            <v>Должник</v>
          </cell>
          <cell r="E294">
            <v>6000</v>
          </cell>
          <cell r="F294" t="str">
            <v>Не рассчитался</v>
          </cell>
          <cell r="G294" t="str">
            <v>Сдал но нерасчитался 6000 сом</v>
          </cell>
        </row>
        <row r="295">
          <cell r="A295" t="str">
            <v>Сейдалиев Улукбек Зоотбекович</v>
          </cell>
          <cell r="B295" t="str">
            <v>Лермонтова 68</v>
          </cell>
          <cell r="C295" t="str">
            <v>НЕВЫДАВАТЬ</v>
          </cell>
          <cell r="D295" t="str">
            <v>Должник</v>
          </cell>
          <cell r="E295">
            <v>97200</v>
          </cell>
          <cell r="F295" t="str">
            <v>Не рассчитался</v>
          </cell>
          <cell r="G295" t="str">
            <v>Не Сдал</v>
          </cell>
        </row>
        <row r="296">
          <cell r="A296" t="str">
            <v xml:space="preserve">Ташматов Айтбай Халилович </v>
          </cell>
          <cell r="B296" t="str">
            <v>11 мкр</v>
          </cell>
          <cell r="C296" t="str">
            <v>НЕВЫДАВАТЬ</v>
          </cell>
          <cell r="D296" t="str">
            <v>Должник</v>
          </cell>
          <cell r="E296">
            <v>4000</v>
          </cell>
          <cell r="F296" t="str">
            <v>Не рассчитался</v>
          </cell>
          <cell r="G296" t="str">
            <v>Сдал но нерасчитался 4000 сом</v>
          </cell>
        </row>
        <row r="297">
          <cell r="A297" t="str">
            <v>Толкомбаев Кайрат Каныбекович</v>
          </cell>
          <cell r="B297" t="str">
            <v>Лермонтова 68</v>
          </cell>
          <cell r="C297" t="str">
            <v>НЕВЫДАВАТЬ</v>
          </cell>
          <cell r="D297" t="str">
            <v>Должник</v>
          </cell>
          <cell r="E297">
            <v>4900</v>
          </cell>
          <cell r="F297" t="str">
            <v>Не рассчитался</v>
          </cell>
          <cell r="G297" t="str">
            <v>Сдал но нерасчитался 4900 сом</v>
          </cell>
        </row>
        <row r="298">
          <cell r="A298" t="str">
            <v>Эргешов Санжар Абдукадирович</v>
          </cell>
          <cell r="B298" t="str">
            <v>Лермонтова 68</v>
          </cell>
          <cell r="C298" t="str">
            <v>НЕВЫДАВАТЬ</v>
          </cell>
          <cell r="D298" t="str">
            <v>Должник</v>
          </cell>
          <cell r="E298">
            <v>67000</v>
          </cell>
          <cell r="F298" t="str">
            <v>Не рассчитался</v>
          </cell>
          <cell r="G298" t="str">
            <v>Сдал но нерасчитался 67000 сом</v>
          </cell>
        </row>
        <row r="299">
          <cell r="A299" t="str">
            <v>Эркинбеков Манас Уланбекович</v>
          </cell>
          <cell r="B299" t="str">
            <v>Лермонтова 68</v>
          </cell>
          <cell r="C299" t="str">
            <v>НЕВЫДАВАТЬ</v>
          </cell>
          <cell r="D299" t="str">
            <v>Должник</v>
          </cell>
          <cell r="E299">
            <v>21400</v>
          </cell>
          <cell r="F299" t="str">
            <v>Не рассчитался</v>
          </cell>
          <cell r="G299" t="str">
            <v>Сдал но нерасчитался 21400 сом</v>
          </cell>
        </row>
        <row r="300">
          <cell r="A300" t="str">
            <v xml:space="preserve">Султанбек Уулу Мамашарип </v>
          </cell>
          <cell r="B300" t="str">
            <v>Пишпек</v>
          </cell>
          <cell r="C300" t="str">
            <v>НЕВЫДАВАТЬ</v>
          </cell>
          <cell r="D300"/>
          <cell r="E300">
            <v>0</v>
          </cell>
          <cell r="F300" t="str">
            <v>Расчитался</v>
          </cell>
          <cell r="G300" t="str">
            <v xml:space="preserve">Расчитался с горем попалам  выдовать под полную стоимость </v>
          </cell>
        </row>
        <row r="301">
          <cell r="A301" t="str">
            <v>Бердибек Алтынбек</v>
          </cell>
          <cell r="B301" t="str">
            <v>Лермонтова 68</v>
          </cell>
          <cell r="C301" t="str">
            <v>Геморой</v>
          </cell>
          <cell r="D301" t="str">
            <v>Геморой</v>
          </cell>
          <cell r="E301">
            <v>0</v>
          </cell>
          <cell r="F301" t="str">
            <v>Недолжен</v>
          </cell>
          <cell r="G301" t="str">
            <v>Очень гемороидальный клиент очень аккуратно</v>
          </cell>
        </row>
        <row r="302">
          <cell r="A302" t="str">
            <v>Иноятов Улугбек Мохомадалиевич</v>
          </cell>
          <cell r="B302" t="str">
            <v>Лермонтова 68</v>
          </cell>
          <cell r="C302" t="str">
            <v>НЕВЫДАВАТЬ</v>
          </cell>
          <cell r="D302" t="str">
            <v>Должник</v>
          </cell>
          <cell r="E302">
            <v>23750</v>
          </cell>
          <cell r="F302" t="str">
            <v>Рассчитался</v>
          </cell>
          <cell r="G302" t="str">
            <v xml:space="preserve"> сдал леса, кое как все сдал и кое-как рассчитался</v>
          </cell>
        </row>
        <row r="303">
          <cell r="A303" t="str">
            <v>Дайырбек уулу Марклен</v>
          </cell>
          <cell r="B303" t="str">
            <v>Пишпек</v>
          </cell>
          <cell r="C303" t="str">
            <v>НЕВЫДАВАТЬ</v>
          </cell>
          <cell r="D303" t="str">
            <v>Должник</v>
          </cell>
          <cell r="E303">
            <v>10400</v>
          </cell>
          <cell r="F303" t="str">
            <v>Не рассчитался</v>
          </cell>
          <cell r="G303" t="str">
            <v>Сдал но нерассчитался 10400</v>
          </cell>
        </row>
        <row r="304">
          <cell r="A304" t="str">
            <v>Абдысаматова Тахмина Алтымышовна</v>
          </cell>
          <cell r="B304" t="str">
            <v>Пишпек</v>
          </cell>
          <cell r="C304" t="str">
            <v>НЕВЫДАВАТЬ</v>
          </cell>
          <cell r="D304" t="str">
            <v>Должник</v>
          </cell>
          <cell r="E304">
            <v>0</v>
          </cell>
          <cell r="F304" t="str">
            <v>Расчиталась</v>
          </cell>
          <cell r="G304" t="str">
            <v>Очень долго расчитывалась</v>
          </cell>
        </row>
        <row r="305">
          <cell r="A305" t="str">
            <v>Досалиев Нурдин Джекшенович</v>
          </cell>
          <cell r="B305" t="str">
            <v>Пишпек</v>
          </cell>
          <cell r="C305" t="str">
            <v>НЕВЫДАВАТЬ</v>
          </cell>
          <cell r="D305" t="str">
            <v>Должник</v>
          </cell>
          <cell r="E305">
            <v>64025</v>
          </cell>
          <cell r="F305" t="str">
            <v>Не расчитался</v>
          </cell>
          <cell r="G305" t="str">
            <v>4 секции лесов не вернул. Долг по аренде лесов 38025 сом плюс стоимость лесов 26000 сом. Итого: 64025 сом. (Подали в суд)</v>
          </cell>
        </row>
        <row r="306">
          <cell r="A306" t="str">
            <v>Исмаилов Акжол Медербекович</v>
          </cell>
          <cell r="B306" t="str">
            <v>11 мкр</v>
          </cell>
          <cell r="C306" t="str">
            <v>НЕВЫДАВАТЬ</v>
          </cell>
          <cell r="D306" t="str">
            <v>Должник</v>
          </cell>
          <cell r="E306">
            <v>67500</v>
          </cell>
          <cell r="F306" t="str">
            <v>Не расчитался</v>
          </cell>
          <cell r="G306" t="str">
            <v>Невернул леса не рассчитался.</v>
          </cell>
        </row>
        <row r="307">
          <cell r="A307" t="str">
            <v>Сатыбалдиев Нурсултан Чингизович</v>
          </cell>
          <cell r="B307" t="str">
            <v>Лермонтова 68</v>
          </cell>
          <cell r="C307" t="str">
            <v>НЕВЫДАВАТЬ</v>
          </cell>
          <cell r="D307" t="str">
            <v>Должник</v>
          </cell>
          <cell r="E307">
            <v>44000</v>
          </cell>
          <cell r="F307" t="str">
            <v>Не расчитался</v>
          </cell>
          <cell r="G307" t="str">
            <v>Сдал не рассчитался.</v>
          </cell>
        </row>
        <row r="308">
          <cell r="A308" t="str">
            <v>Мураталиев Санжарбек Мамасидикович</v>
          </cell>
          <cell r="B308" t="str">
            <v>Пишпек</v>
          </cell>
          <cell r="C308" t="str">
            <v>НЕВЫДАВАТЬ</v>
          </cell>
          <cell r="D308" t="str">
            <v>Должник</v>
          </cell>
          <cell r="E308">
            <v>7900</v>
          </cell>
          <cell r="F308" t="str">
            <v>Не рассчитался</v>
          </cell>
          <cell r="G308" t="str">
            <v>Сдал не рассчитался.</v>
          </cell>
        </row>
        <row r="309">
          <cell r="A309" t="str">
            <v>Дайырбеков Калыгул Дайырбекович</v>
          </cell>
          <cell r="B309" t="str">
            <v>Пишпек</v>
          </cell>
          <cell r="C309" t="str">
            <v>НЕВЫДАВАТЬ</v>
          </cell>
          <cell r="D309" t="str">
            <v>Должник</v>
          </cell>
          <cell r="E309">
            <v>3350</v>
          </cell>
          <cell r="F309" t="str">
            <v>Не рассчитался</v>
          </cell>
          <cell r="G309" t="str">
            <v>Сдал не рассчитался.</v>
          </cell>
        </row>
        <row r="310">
          <cell r="A310" t="str">
            <v>Абылмечинов Айбек Куванович</v>
          </cell>
          <cell r="B310" t="str">
            <v>Пишпек</v>
          </cell>
          <cell r="C310" t="str">
            <v>НЕВЫДАВАТЬ</v>
          </cell>
          <cell r="D310" t="str">
            <v>Должник</v>
          </cell>
          <cell r="E310">
            <v>11600</v>
          </cell>
          <cell r="F310" t="str">
            <v>Не рассчитался</v>
          </cell>
          <cell r="G310" t="str">
            <v>Сдал не рассчитался.</v>
          </cell>
        </row>
        <row r="311">
          <cell r="A311" t="str">
            <v>Акимбеков Эридан Кенешбекович</v>
          </cell>
          <cell r="B311" t="str">
            <v>11 мкр</v>
          </cell>
          <cell r="C311" t="str">
            <v>НЕВЫДАВАТЬ</v>
          </cell>
          <cell r="D311" t="str">
            <v>Должник</v>
          </cell>
          <cell r="E311">
            <v>180000</v>
          </cell>
          <cell r="F311" t="str">
            <v>Не рассчитался</v>
          </cell>
          <cell r="G311" t="str">
            <v>Не сдал дизельную пушку</v>
          </cell>
        </row>
        <row r="312">
          <cell r="A312" t="str">
            <v>Жумакадыров Сабырбек Жумакадырович</v>
          </cell>
          <cell r="B312" t="str">
            <v>Лермонтова 68</v>
          </cell>
          <cell r="C312" t="str">
            <v>НЕВЫДАВАТЬ</v>
          </cell>
          <cell r="D312" t="str">
            <v>Должник</v>
          </cell>
          <cell r="E312">
            <v>11300</v>
          </cell>
          <cell r="F312" t="str">
            <v>Не рассчитался</v>
          </cell>
          <cell r="G312" t="str">
            <v>Сдал не рассчитался.</v>
          </cell>
        </row>
        <row r="313">
          <cell r="A313" t="str">
            <v>Мырзабеков Саян Кылычбекович</v>
          </cell>
          <cell r="B313" t="str">
            <v>11 мкр</v>
          </cell>
          <cell r="C313" t="str">
            <v>НЕВЫДАВАТЬ</v>
          </cell>
          <cell r="D313" t="str">
            <v>Должник</v>
          </cell>
          <cell r="E313">
            <v>23500</v>
          </cell>
          <cell r="F313" t="str">
            <v>Не рассчитался</v>
          </cell>
          <cell r="G313" t="str">
            <v>Сдал не рассчитался.</v>
          </cell>
        </row>
        <row r="314">
          <cell r="A314" t="str">
            <v>Нурланбеков Алмазбек Нурланбекович</v>
          </cell>
          <cell r="B314" t="str">
            <v>Лермонтова 68</v>
          </cell>
          <cell r="C314" t="str">
            <v>НЕВЫДАВАТЬ</v>
          </cell>
          <cell r="D314" t="str">
            <v>Должник</v>
          </cell>
          <cell r="E314">
            <v>15500</v>
          </cell>
          <cell r="F314" t="str">
            <v>Не рассчитался</v>
          </cell>
          <cell r="G314" t="str">
            <v>Не сдал компрессор</v>
          </cell>
        </row>
        <row r="315">
          <cell r="A315" t="str">
            <v>Орозов Нурбек Кутманалиевич</v>
          </cell>
          <cell r="B315" t="str">
            <v>Лермонтова 68</v>
          </cell>
          <cell r="C315" t="str">
            <v>НЕВЫДАВАТЬ</v>
          </cell>
          <cell r="D315" t="str">
            <v>Должник</v>
          </cell>
          <cell r="E315">
            <v>16600</v>
          </cell>
          <cell r="F315" t="str">
            <v>Не рассчитался</v>
          </cell>
          <cell r="G315" t="str">
            <v>Не сдал пилу цепную</v>
          </cell>
        </row>
        <row r="316">
          <cell r="A316" t="str">
            <v>Чабыкеев Таалайбек Мукамбеткалиевич</v>
          </cell>
          <cell r="B316" t="str">
            <v>11 мкр</v>
          </cell>
          <cell r="C316" t="str">
            <v>НЕВЫДАВАТЬ</v>
          </cell>
          <cell r="D316" t="str">
            <v>Мозгоеб</v>
          </cell>
          <cell r="E316">
            <v>4500</v>
          </cell>
          <cell r="F316" t="str">
            <v>Не рассчитался</v>
          </cell>
          <cell r="G316" t="str">
            <v>Очень долго расчитывается</v>
          </cell>
        </row>
        <row r="317">
          <cell r="A317" t="str">
            <v>Кубатбек уулу Аскар</v>
          </cell>
          <cell r="B317" t="str">
            <v>Лермонтова 68</v>
          </cell>
          <cell r="C317" t="str">
            <v>НЕВЫДАВАТЬ</v>
          </cell>
          <cell r="D317" t="str">
            <v>Должник</v>
          </cell>
          <cell r="E317">
            <v>9200</v>
          </cell>
          <cell r="F317" t="str">
            <v>Не рассчитался</v>
          </cell>
          <cell r="G317" t="str">
            <v>Сдал не рассчитался.</v>
          </cell>
        </row>
        <row r="318">
          <cell r="A318" t="str">
            <v>Умурзаков Темурлан Аббасович</v>
          </cell>
          <cell r="B318" t="str">
            <v>Лермонтова 68</v>
          </cell>
          <cell r="C318" t="str">
            <v>НЕВЫДАВАТЬ</v>
          </cell>
          <cell r="D318" t="str">
            <v>Должник</v>
          </cell>
          <cell r="E318">
            <v>10420</v>
          </cell>
          <cell r="F318" t="str">
            <v xml:space="preserve"> Рассчитался</v>
          </cell>
          <cell r="G318" t="str">
            <v>Сдал не рассчитался.</v>
          </cell>
        </row>
        <row r="319">
          <cell r="A319" t="str">
            <v>Турдубек уулу Азирет</v>
          </cell>
          <cell r="B319" t="str">
            <v>Пишпек</v>
          </cell>
          <cell r="C319" t="str">
            <v>НЕВЫДАВАТЬ</v>
          </cell>
          <cell r="D319" t="str">
            <v>Должник</v>
          </cell>
          <cell r="E319">
            <v>5000</v>
          </cell>
          <cell r="F319" t="str">
            <v>Не рассчитался</v>
          </cell>
          <cell r="G319" t="str">
            <v>Сдал не рассчитался.</v>
          </cell>
        </row>
        <row r="320">
          <cell r="A320" t="str">
            <v>Канатбек уулу Эламан</v>
          </cell>
          <cell r="B320" t="str">
            <v>Пишпек</v>
          </cell>
          <cell r="C320" t="str">
            <v>НЕВЫДАВАТЬ</v>
          </cell>
          <cell r="D320" t="str">
            <v>Должник</v>
          </cell>
          <cell r="E320">
            <v>25000</v>
          </cell>
          <cell r="F320" t="str">
            <v>Не рассчитался</v>
          </cell>
          <cell r="G320" t="str">
            <v>Сдал не рассчитался.</v>
          </cell>
        </row>
        <row r="321">
          <cell r="A321" t="str">
            <v>Акимбеков Эридан Кенешбекович</v>
          </cell>
          <cell r="B321" t="str">
            <v>11 мкр</v>
          </cell>
          <cell r="C321" t="str">
            <v>НЕВЫДАВАТЬ</v>
          </cell>
          <cell r="D321" t="str">
            <v>Должник</v>
          </cell>
          <cell r="E321">
            <v>21200</v>
          </cell>
          <cell r="F321" t="str">
            <v>Не рассчитался</v>
          </cell>
          <cell r="G321" t="str">
            <v>Не сдал Пушку газовую 30 кВт</v>
          </cell>
        </row>
        <row r="322">
          <cell r="A322" t="str">
            <v>Мырзабеков Саян Кылычбекович</v>
          </cell>
          <cell r="B322" t="str">
            <v>11 мкр</v>
          </cell>
          <cell r="C322" t="str">
            <v>НЕВЫДАВАТЬ</v>
          </cell>
          <cell r="D322" t="str">
            <v>Должник</v>
          </cell>
          <cell r="E322">
            <v>22800</v>
          </cell>
          <cell r="F322" t="str">
            <v>Не рассчитался</v>
          </cell>
          <cell r="G322" t="str">
            <v>Взял 2 шуруповерта сдал неоплатил через такси</v>
          </cell>
        </row>
        <row r="323">
          <cell r="A323" t="str">
            <v>Бакыт уулу Нурбек</v>
          </cell>
          <cell r="B323" t="str">
            <v>11мкр</v>
          </cell>
          <cell r="C323" t="str">
            <v>НЕВЫДАВАТЬ</v>
          </cell>
          <cell r="D323" t="str">
            <v>Должник</v>
          </cell>
          <cell r="E323">
            <v>2500</v>
          </cell>
          <cell r="F323" t="str">
            <v>РАСЧИТАЛСЯ</v>
          </cell>
          <cell r="G323" t="str">
            <v>Взял стремянку РАСЧИТАЛСЯ С ГОРЕМ ПОПАЛАМ</v>
          </cell>
        </row>
        <row r="324">
          <cell r="A324" t="str">
            <v>Нурланбек уулу Нооруз</v>
          </cell>
          <cell r="B324" t="str">
            <v>Пишпек</v>
          </cell>
          <cell r="C324" t="str">
            <v>НЕВЫДАВАТЬ</v>
          </cell>
          <cell r="D324" t="str">
            <v>Должник</v>
          </cell>
          <cell r="E324">
            <v>33000</v>
          </cell>
          <cell r="F324" t="str">
            <v>Не рассчитался</v>
          </cell>
          <cell r="G324" t="str">
            <v>Инструмент сдал долг не оплатил</v>
          </cell>
        </row>
        <row r="325">
          <cell r="A325" t="str">
            <v xml:space="preserve">Алымов Элмурат Муслимович </v>
          </cell>
          <cell r="B325" t="str">
            <v>11 мкр</v>
          </cell>
          <cell r="C325" t="str">
            <v>НЕВЫДАВАТЬ</v>
          </cell>
          <cell r="D325" t="str">
            <v>Должник</v>
          </cell>
          <cell r="E325">
            <v>14700</v>
          </cell>
          <cell r="F325" t="str">
            <v>Не рассчитался</v>
          </cell>
          <cell r="G325" t="str">
            <v>Инструмент сдал долг не оплатил</v>
          </cell>
        </row>
        <row r="326">
          <cell r="A326" t="str">
            <v>Ниязалиев Адилет Дженишбекович</v>
          </cell>
          <cell r="B326" t="str">
            <v>Пишпек</v>
          </cell>
          <cell r="C326" t="str">
            <v>НЕВЫДАВАТЬ</v>
          </cell>
          <cell r="D326" t="str">
            <v>Должник</v>
          </cell>
          <cell r="E326">
            <v>35000</v>
          </cell>
          <cell r="F326" t="str">
            <v>Не расчитался</v>
          </cell>
          <cell r="G326" t="str">
            <v>Инструмент сдал долг не оплатил</v>
          </cell>
        </row>
        <row r="327">
          <cell r="A327" t="str">
            <v xml:space="preserve">Орозобек Уулу Ырыскелди </v>
          </cell>
          <cell r="B327" t="str">
            <v>11 мкр</v>
          </cell>
          <cell r="C327" t="str">
            <v>НЕВЫДАВАТЬ</v>
          </cell>
          <cell r="D327" t="str">
            <v>Расчитался</v>
          </cell>
          <cell r="E327" t="str">
            <v>0 сом</v>
          </cell>
          <cell r="F327" t="str">
            <v>РАСЧИТАЛСЯ</v>
          </cell>
          <cell r="G327" t="str">
            <v>Раститался после занесения его в черный список ПОД ПОЛНУЮ СТОИМОСТЬ</v>
          </cell>
        </row>
        <row r="328">
          <cell r="A328" t="str">
            <v>Шерамудунов Азамат Болотбекович</v>
          </cell>
          <cell r="B328" t="str">
            <v>11мкр</v>
          </cell>
          <cell r="C328" t="str">
            <v>НЕВЫДАВАТЬ</v>
          </cell>
          <cell r="D328" t="str">
            <v>Расчитался</v>
          </cell>
          <cell r="E328" t="str">
            <v>0 сом</v>
          </cell>
          <cell r="F328" t="str">
            <v>РАСЧИТАЛСЯ</v>
          </cell>
          <cell r="G328" t="str">
            <v>Раститался после занесения его в черный список ПОД ПОЛНУЮ СТОИМОСТЬ</v>
          </cell>
        </row>
        <row r="329">
          <cell r="A329" t="str">
            <v>Асанов Нур-Мухаммед Нурланович</v>
          </cell>
          <cell r="B329" t="str">
            <v>11 мкр</v>
          </cell>
          <cell r="C329" t="str">
            <v>НЕВЫДАВАТЬ</v>
          </cell>
          <cell r="D329" t="str">
            <v>Должник</v>
          </cell>
          <cell r="E329">
            <v>800</v>
          </cell>
          <cell r="F329" t="str">
            <v>Не расчитался</v>
          </cell>
          <cell r="G329" t="str">
            <v>Полное игнорирование неадекватный клиент угрожал</v>
          </cell>
        </row>
        <row r="330">
          <cell r="A330" t="str">
            <v xml:space="preserve">Бондарев Алексей Павлович </v>
          </cell>
          <cell r="B330" t="str">
            <v>11мкр</v>
          </cell>
          <cell r="C330" t="str">
            <v>НЕВЫДАВАТЬ</v>
          </cell>
          <cell r="D330" t="str">
            <v>Должник</v>
          </cell>
          <cell r="E330">
            <v>12600</v>
          </cell>
          <cell r="F330" t="str">
            <v>Не расчитался</v>
          </cell>
          <cell r="G330" t="str">
            <v>Перестал отвечать на звонки игнорировал все сообщения которые ему отправляли на WhatsApp</v>
          </cell>
        </row>
        <row r="331">
          <cell r="A331" t="str">
            <v>Руслан уулу Эрлан</v>
          </cell>
          <cell r="B331" t="str">
            <v>Пишпек</v>
          </cell>
          <cell r="C331" t="str">
            <v>Расчитался</v>
          </cell>
          <cell r="D331" t="str">
            <v>Должник</v>
          </cell>
          <cell r="E331">
            <v>2000</v>
          </cell>
          <cell r="F331" t="str">
            <v>Не рассчитался</v>
          </cell>
          <cell r="G331" t="str">
            <v xml:space="preserve">Взял газовую горелку попользовался не оплатил за аренду отправил через такси. </v>
          </cell>
        </row>
        <row r="332">
          <cell r="A332" t="str">
            <v xml:space="preserve">Асаналиев Базарбек Токтобаевич </v>
          </cell>
          <cell r="B332" t="str">
            <v>11 мкр</v>
          </cell>
          <cell r="C332" t="str">
            <v>Невыдавать</v>
          </cell>
          <cell r="D332" t="str">
            <v>Должник</v>
          </cell>
          <cell r="E332">
            <v>6480</v>
          </cell>
          <cell r="F332" t="str">
            <v>Не расчитался</v>
          </cell>
          <cell r="G332" t="str">
            <v>Взял Дрель инко, не мог оплатить за аренду 3200 сом, телефон не доступен.</v>
          </cell>
        </row>
        <row r="333">
          <cell r="A333" t="str">
            <v>Сланбеков Аманбек Сланбекович</v>
          </cell>
          <cell r="B333" t="str">
            <v>Пишпек</v>
          </cell>
          <cell r="C333" t="str">
            <v>Расчитался</v>
          </cell>
          <cell r="D333" t="str">
            <v>Расчитался</v>
          </cell>
          <cell r="E333">
            <v>0</v>
          </cell>
          <cell r="F333" t="str">
            <v>Расчитался</v>
          </cell>
          <cell r="G333" t="str">
            <v>Брать больше депозит очень долго рассчитывается</v>
          </cell>
        </row>
        <row r="334">
          <cell r="A334" t="str">
            <v>Джанакбаев Ерлан Талгатович</v>
          </cell>
          <cell r="B334" t="str">
            <v>Пишпек</v>
          </cell>
          <cell r="C334" t="str">
            <v>НЕВЫДАВАТЬ</v>
          </cell>
          <cell r="D334" t="str">
            <v>Должник</v>
          </cell>
          <cell r="E334">
            <v>3300</v>
          </cell>
          <cell r="F334" t="str">
            <v>Не расчитался</v>
          </cell>
          <cell r="G334" t="str">
            <v>Инструмент сдал долг не оплатил</v>
          </cell>
        </row>
        <row r="335">
          <cell r="A335" t="str">
            <v>Асилбеков Адилет Асилбекович</v>
          </cell>
          <cell r="B335" t="str">
            <v>Пишпек</v>
          </cell>
          <cell r="C335" t="str">
            <v>НЕВЫДАВАТЬ</v>
          </cell>
          <cell r="D335" t="str">
            <v>Должник</v>
          </cell>
          <cell r="E335">
            <v>1500</v>
          </cell>
          <cell r="F335" t="str">
            <v>Не расчитался</v>
          </cell>
          <cell r="G335" t="str">
            <v>Инструмент сдал долг не оплатил</v>
          </cell>
        </row>
        <row r="336">
          <cell r="A336" t="str">
            <v xml:space="preserve">Маданбеков Илияс Алмазович </v>
          </cell>
          <cell r="B336" t="str">
            <v>11 мкр</v>
          </cell>
          <cell r="C336" t="str">
            <v>НЕВЫДАВАТЬ</v>
          </cell>
          <cell r="D336" t="str">
            <v>Должник</v>
          </cell>
          <cell r="E336">
            <v>9400</v>
          </cell>
          <cell r="F336" t="str">
            <v>Не расчитался</v>
          </cell>
          <cell r="G336" t="str">
            <v>Инструмент не сдал долг не оплатил</v>
          </cell>
        </row>
        <row r="337">
          <cell r="A337" t="str">
            <v>Каримбеков Чингыз Уланович</v>
          </cell>
          <cell r="B337" t="str">
            <v>11 мкр</v>
          </cell>
          <cell r="C337" t="str">
            <v>НЕВЫДАВАТЬ</v>
          </cell>
          <cell r="D337" t="str">
            <v>ЕБАНАТ НАТРИЯ</v>
          </cell>
          <cell r="E337"/>
          <cell r="F337"/>
          <cell r="G337"/>
        </row>
        <row r="338">
          <cell r="A338"/>
          <cell r="B338"/>
          <cell r="C338"/>
          <cell r="D338"/>
          <cell r="E338"/>
          <cell r="F338"/>
          <cell r="G338"/>
        </row>
        <row r="339">
          <cell r="A339"/>
          <cell r="B339"/>
          <cell r="C339"/>
          <cell r="D339"/>
          <cell r="E339"/>
          <cell r="F339"/>
          <cell r="G339"/>
        </row>
        <row r="340">
          <cell r="A340"/>
          <cell r="B340"/>
          <cell r="C340"/>
          <cell r="D340"/>
          <cell r="E340"/>
          <cell r="F340"/>
          <cell r="G340"/>
        </row>
        <row r="341">
          <cell r="A341"/>
          <cell r="B341"/>
          <cell r="C341"/>
          <cell r="D341"/>
          <cell r="E341"/>
          <cell r="F341"/>
          <cell r="G341"/>
        </row>
        <row r="342">
          <cell r="A342"/>
          <cell r="B342"/>
          <cell r="C342"/>
          <cell r="D342"/>
          <cell r="E342"/>
          <cell r="F342"/>
          <cell r="G342"/>
        </row>
        <row r="343">
          <cell r="A343"/>
          <cell r="B343"/>
          <cell r="C343"/>
          <cell r="D343"/>
          <cell r="E343"/>
          <cell r="F343"/>
          <cell r="G343"/>
        </row>
        <row r="344">
          <cell r="A344"/>
          <cell r="B344"/>
          <cell r="C344"/>
          <cell r="D344"/>
          <cell r="E344"/>
          <cell r="F344"/>
          <cell r="G344"/>
        </row>
        <row r="345">
          <cell r="A345"/>
          <cell r="B345"/>
          <cell r="C345"/>
          <cell r="D345"/>
          <cell r="E345"/>
          <cell r="F345"/>
          <cell r="G345"/>
        </row>
        <row r="346">
          <cell r="A346"/>
          <cell r="B346"/>
          <cell r="C346"/>
          <cell r="D346"/>
          <cell r="E346"/>
          <cell r="F346"/>
          <cell r="G346"/>
        </row>
        <row r="347">
          <cell r="A347"/>
          <cell r="B347"/>
          <cell r="C347"/>
          <cell r="D347"/>
          <cell r="E347"/>
          <cell r="F347"/>
          <cell r="G347"/>
        </row>
        <row r="348">
          <cell r="A348"/>
          <cell r="B348"/>
          <cell r="C348"/>
          <cell r="D348"/>
          <cell r="E348"/>
          <cell r="F348"/>
          <cell r="G348"/>
        </row>
        <row r="349">
          <cell r="A349"/>
          <cell r="B349"/>
          <cell r="C349"/>
          <cell r="D349"/>
          <cell r="E349"/>
          <cell r="F349"/>
          <cell r="G349"/>
        </row>
        <row r="350">
          <cell r="A350"/>
          <cell r="B350"/>
          <cell r="C350"/>
          <cell r="D350"/>
          <cell r="E350"/>
          <cell r="F350"/>
          <cell r="G350"/>
        </row>
        <row r="351">
          <cell r="A351" t="str">
            <v>Аалиев Аскат Садырбекович</v>
          </cell>
          <cell r="B351">
            <v>32507</v>
          </cell>
          <cell r="C351" t="str">
            <v>НЕВЫДАВАТЬ</v>
          </cell>
          <cell r="D351" t="str">
            <v>В РОЗЫСКЕ</v>
          </cell>
          <cell r="E351"/>
          <cell r="F351"/>
          <cell r="G351" t="str">
            <v>Только под полную стоимость оборудования</v>
          </cell>
        </row>
        <row r="352">
          <cell r="A352" t="str">
            <v>Аббасов Намиг Вагифович</v>
          </cell>
          <cell r="B352">
            <v>29860</v>
          </cell>
          <cell r="C352" t="str">
            <v>НЕВЫДАВАТЬ</v>
          </cell>
          <cell r="D352" t="str">
            <v>В РОЗЫСКЕ</v>
          </cell>
          <cell r="E352"/>
          <cell r="F352"/>
          <cell r="G352" t="str">
            <v>Только под полную стоимость оборудования</v>
          </cell>
        </row>
        <row r="353">
          <cell r="A353" t="str">
            <v>Абдибаитов Эрнис Салибаевич</v>
          </cell>
          <cell r="B353">
            <v>30418</v>
          </cell>
          <cell r="C353" t="str">
            <v>НЕВЫДАВАТЬ</v>
          </cell>
          <cell r="D353" t="str">
            <v>В РОЗЫСКЕ</v>
          </cell>
          <cell r="E353"/>
          <cell r="F353"/>
          <cell r="G353" t="str">
            <v>Только под полную стоимость оборудования</v>
          </cell>
        </row>
        <row r="354">
          <cell r="A354" t="str">
            <v>Абдраимов Мыктарбек Аблакимович</v>
          </cell>
          <cell r="B354">
            <v>28291</v>
          </cell>
          <cell r="C354" t="str">
            <v>НЕВЫДАВАТЬ</v>
          </cell>
          <cell r="D354" t="str">
            <v>В РОЗЫСКЕ</v>
          </cell>
          <cell r="E354"/>
          <cell r="F354"/>
          <cell r="G354" t="str">
            <v>Только под полную стоимость оборудования</v>
          </cell>
        </row>
        <row r="355">
          <cell r="A355" t="str">
            <v>Абдрахманов Кайрат Болотбекович</v>
          </cell>
          <cell r="B355">
            <v>28417</v>
          </cell>
          <cell r="C355" t="str">
            <v>НЕВЫДАВАТЬ</v>
          </cell>
          <cell r="D355" t="str">
            <v>В РОЗЫСКЕ</v>
          </cell>
          <cell r="E355"/>
          <cell r="F355"/>
          <cell r="G355" t="str">
            <v>Только под полную стоимость оборудования</v>
          </cell>
        </row>
        <row r="356">
          <cell r="A356" t="str">
            <v>Абдрахманов Муктар Абдраимович</v>
          </cell>
          <cell r="B356">
            <v>27121</v>
          </cell>
          <cell r="C356" t="str">
            <v>НЕВЫДАВАТЬ</v>
          </cell>
          <cell r="D356" t="str">
            <v>В РОЗЫСКЕ</v>
          </cell>
          <cell r="E356"/>
          <cell r="F356"/>
          <cell r="G356" t="str">
            <v>Только под полную стоимость оборудования</v>
          </cell>
        </row>
        <row r="357">
          <cell r="A357" t="str">
            <v xml:space="preserve">Абдрахманов Рахимжан Джумахунович </v>
          </cell>
          <cell r="B357">
            <v>25345</v>
          </cell>
          <cell r="C357" t="str">
            <v>НЕВЫДАВАТЬ</v>
          </cell>
          <cell r="D357" t="str">
            <v>В РОЗЫСКЕ</v>
          </cell>
          <cell r="E357"/>
          <cell r="F357"/>
          <cell r="G357" t="str">
            <v>Только под полную стоимость оборудования</v>
          </cell>
        </row>
        <row r="358">
          <cell r="A358" t="str">
            <v>Абдрахманова Жумагул Исмаиловна</v>
          </cell>
          <cell r="B358">
            <v>21237</v>
          </cell>
          <cell r="C358" t="str">
            <v>НЕВЫДАВАТЬ</v>
          </cell>
          <cell r="D358" t="str">
            <v>В РОЗЫСКЕ</v>
          </cell>
          <cell r="E358"/>
          <cell r="F358"/>
          <cell r="G358" t="str">
            <v>Только под полную стоимость оборудования</v>
          </cell>
        </row>
        <row r="359">
          <cell r="A359" t="str">
            <v>Абдували уулу Русланбек</v>
          </cell>
          <cell r="B359">
            <v>30667</v>
          </cell>
          <cell r="C359" t="str">
            <v>НЕВЫДАВАТЬ</v>
          </cell>
          <cell r="D359" t="str">
            <v>В РОЗЫСКЕ</v>
          </cell>
          <cell r="E359"/>
          <cell r="F359"/>
          <cell r="G359" t="str">
            <v>Только под полную стоимость оборудования</v>
          </cell>
        </row>
        <row r="360">
          <cell r="A360" t="str">
            <v>Абдувалиев Бабур Октамович</v>
          </cell>
          <cell r="B360">
            <v>32210</v>
          </cell>
          <cell r="C360" t="str">
            <v>НЕВЫДАВАТЬ</v>
          </cell>
          <cell r="D360" t="str">
            <v>В РОЗЫСКЕ</v>
          </cell>
          <cell r="E360"/>
          <cell r="F360"/>
          <cell r="G360" t="str">
            <v>Только под полную стоимость оборудования</v>
          </cell>
        </row>
        <row r="361">
          <cell r="A361" t="str">
            <v>Абдувалиев Дамин Сатвалдиевич</v>
          </cell>
          <cell r="B361">
            <v>22479</v>
          </cell>
          <cell r="C361" t="str">
            <v>НЕВЫДАВАТЬ</v>
          </cell>
          <cell r="D361" t="str">
            <v>В РОЗЫСКЕ</v>
          </cell>
          <cell r="E361"/>
          <cell r="F361"/>
          <cell r="G361" t="str">
            <v>Только под полную стоимость оборудования</v>
          </cell>
        </row>
        <row r="362">
          <cell r="A362" t="str">
            <v xml:space="preserve">Абдукаримов Равшан Латифович </v>
          </cell>
          <cell r="B362">
            <v>24461</v>
          </cell>
          <cell r="C362" t="str">
            <v>НЕВЫДАВАТЬ</v>
          </cell>
          <cell r="D362" t="str">
            <v>В РОЗЫСКЕ</v>
          </cell>
          <cell r="E362"/>
          <cell r="F362"/>
          <cell r="G362" t="str">
            <v>Только под полную стоимость оборудования</v>
          </cell>
        </row>
        <row r="363">
          <cell r="A363" t="str">
            <v xml:space="preserve">Абдукаримов Рустамжан Тешебаевич </v>
          </cell>
          <cell r="B363">
            <v>21644</v>
          </cell>
          <cell r="C363" t="str">
            <v>НЕВЫДАВАТЬ</v>
          </cell>
          <cell r="D363" t="str">
            <v>В РОЗЫСКЕ</v>
          </cell>
          <cell r="E363"/>
          <cell r="F363"/>
          <cell r="G363" t="str">
            <v>Только под полную стоимость оборудования</v>
          </cell>
        </row>
        <row r="364">
          <cell r="A364" t="str">
            <v xml:space="preserve">Абдуллаев Азизулло Муржанович </v>
          </cell>
          <cell r="B364">
            <v>23214</v>
          </cell>
          <cell r="C364" t="str">
            <v>НЕВЫДАВАТЬ</v>
          </cell>
          <cell r="D364" t="str">
            <v>В РОЗЫСКЕ</v>
          </cell>
          <cell r="E364"/>
          <cell r="F364"/>
          <cell r="G364" t="str">
            <v>Только под полную стоимость оборудования</v>
          </cell>
        </row>
        <row r="365">
          <cell r="A365" t="str">
            <v>Абдуллаев Мамасадык Абдимомунович</v>
          </cell>
          <cell r="B365">
            <v>24910</v>
          </cell>
          <cell r="C365" t="str">
            <v>НЕВЫДАВАТЬ</v>
          </cell>
          <cell r="D365" t="str">
            <v>В РОЗЫСКЕ</v>
          </cell>
          <cell r="E365"/>
          <cell r="F365"/>
          <cell r="G365" t="str">
            <v>Только под полную стоимость оборудования</v>
          </cell>
        </row>
        <row r="366">
          <cell r="A366" t="str">
            <v>Абдуллаев Равшанбек Одилжанович</v>
          </cell>
          <cell r="B366">
            <v>29823</v>
          </cell>
          <cell r="C366" t="str">
            <v>НЕВЫДАВАТЬ</v>
          </cell>
          <cell r="D366" t="str">
            <v>В РОЗЫСКЕ</v>
          </cell>
          <cell r="E366"/>
          <cell r="F366"/>
          <cell r="G366" t="str">
            <v>Только под полную стоимость оборудования</v>
          </cell>
        </row>
        <row r="367">
          <cell r="A367" t="str">
            <v xml:space="preserve">Абдулназаров Мамадер Илназарович </v>
          </cell>
          <cell r="B367">
            <v>24005</v>
          </cell>
          <cell r="C367" t="str">
            <v>НЕВЫДАВАТЬ</v>
          </cell>
          <cell r="D367" t="str">
            <v>В РОЗЫСКЕ</v>
          </cell>
          <cell r="E367"/>
          <cell r="F367"/>
          <cell r="G367" t="str">
            <v>Только под полную стоимость оборудования</v>
          </cell>
        </row>
        <row r="368">
          <cell r="A368" t="str">
            <v>Абдулхамидов Равшан Абдураимович</v>
          </cell>
          <cell r="B368">
            <v>1968</v>
          </cell>
          <cell r="C368" t="str">
            <v>НЕВЫДАВАТЬ</v>
          </cell>
          <cell r="D368" t="str">
            <v>В РОЗЫСКЕ</v>
          </cell>
          <cell r="E368"/>
          <cell r="F368"/>
          <cell r="G368" t="str">
            <v>Только под полную стоимость оборудования</v>
          </cell>
        </row>
        <row r="369">
          <cell r="A369" t="str">
            <v xml:space="preserve">Абдулхамидов Равшанбек Умарович </v>
          </cell>
          <cell r="B369">
            <v>21662</v>
          </cell>
          <cell r="C369" t="str">
            <v>НЕВЫДАВАТЬ</v>
          </cell>
          <cell r="D369" t="str">
            <v>В РОЗЫСКЕ</v>
          </cell>
          <cell r="E369"/>
          <cell r="F369"/>
          <cell r="G369" t="str">
            <v>Только под полную стоимость оборудования</v>
          </cell>
        </row>
        <row r="370">
          <cell r="A370" t="str">
            <v>Абдыкеримов Уланбек Кылычбекович</v>
          </cell>
          <cell r="B370">
            <v>24712</v>
          </cell>
          <cell r="C370" t="str">
            <v>НЕВЫДАВАТЬ</v>
          </cell>
          <cell r="D370" t="str">
            <v>В РОЗЫСКЕ</v>
          </cell>
          <cell r="E370"/>
          <cell r="F370"/>
          <cell r="G370" t="str">
            <v>Только под полную стоимость оборудования</v>
          </cell>
        </row>
        <row r="371">
          <cell r="A371" t="str">
            <v>Абдылдаев Руслан Казакович</v>
          </cell>
          <cell r="B371">
            <v>27239</v>
          </cell>
          <cell r="C371" t="str">
            <v>НЕВЫДАВАТЬ</v>
          </cell>
          <cell r="D371" t="str">
            <v>В РОЗЫСКЕ</v>
          </cell>
          <cell r="E371"/>
          <cell r="F371"/>
          <cell r="G371" t="str">
            <v>Только под полную стоимость оборудования</v>
          </cell>
        </row>
        <row r="372">
          <cell r="A372" t="str">
            <v>Абдылдаева Гулжан Сатаровна</v>
          </cell>
          <cell r="B372">
            <v>21252</v>
          </cell>
          <cell r="C372" t="str">
            <v>НЕВЫДАВАТЬ</v>
          </cell>
          <cell r="D372" t="str">
            <v>В РОЗЫСКЕ</v>
          </cell>
          <cell r="E372"/>
          <cell r="F372"/>
          <cell r="G372" t="str">
            <v>Только под полную стоимость оборудования</v>
          </cell>
        </row>
        <row r="373">
          <cell r="A373" t="str">
            <v>Абилов Ханбаба Аскер оглы</v>
          </cell>
          <cell r="B373">
            <v>23833</v>
          </cell>
          <cell r="C373" t="str">
            <v>НЕВЫДАВАТЬ</v>
          </cell>
          <cell r="D373" t="str">
            <v>В РОЗЫСКЕ</v>
          </cell>
          <cell r="E373"/>
          <cell r="F373"/>
          <cell r="G373" t="str">
            <v>Только под полную стоимость оборудования</v>
          </cell>
        </row>
        <row r="374">
          <cell r="A374" t="str">
            <v>Абилов Эшатали Тойчиевич</v>
          </cell>
          <cell r="B374">
            <v>29546</v>
          </cell>
          <cell r="C374" t="str">
            <v>НЕВЫДАВАТЬ</v>
          </cell>
          <cell r="D374" t="str">
            <v>В РОЗЫСКЕ</v>
          </cell>
          <cell r="E374"/>
          <cell r="F374"/>
          <cell r="G374" t="str">
            <v>Только под полную стоимость оборудования</v>
          </cell>
        </row>
        <row r="375">
          <cell r="A375" t="str">
            <v xml:space="preserve">Абуев Бурханидин Шарипович </v>
          </cell>
          <cell r="B375">
            <v>24602</v>
          </cell>
          <cell r="C375" t="str">
            <v>НЕВЫДАВАТЬ</v>
          </cell>
          <cell r="D375" t="str">
            <v>В РОЗЫСКЕ</v>
          </cell>
          <cell r="E375"/>
          <cell r="F375"/>
          <cell r="G375" t="str">
            <v>Только под полную стоимость оборудования</v>
          </cell>
        </row>
        <row r="376">
          <cell r="A376" t="str">
            <v xml:space="preserve">Аверин Александр Александрович </v>
          </cell>
          <cell r="B376">
            <v>25090</v>
          </cell>
          <cell r="C376" t="str">
            <v>НЕВЫДАВАТЬ</v>
          </cell>
          <cell r="D376" t="str">
            <v>В РОЗЫСКЕ</v>
          </cell>
          <cell r="E376"/>
          <cell r="F376"/>
          <cell r="G376" t="str">
            <v>Только под полную стоимость оборудования</v>
          </cell>
        </row>
        <row r="377">
          <cell r="A377" t="str">
            <v>Аветисов Владимир Суренович</v>
          </cell>
          <cell r="B377">
            <v>17094</v>
          </cell>
          <cell r="C377" t="str">
            <v>НЕВЫДАВАТЬ</v>
          </cell>
          <cell r="D377" t="str">
            <v>В РОЗЫСКЕ</v>
          </cell>
          <cell r="E377"/>
          <cell r="F377"/>
          <cell r="G377" t="str">
            <v>Только под полную стоимость оборудования</v>
          </cell>
        </row>
        <row r="378">
          <cell r="A378" t="str">
            <v>Агаев Сахават Сахиб огли</v>
          </cell>
          <cell r="B378">
            <v>30265</v>
          </cell>
          <cell r="C378" t="str">
            <v>НЕВЫДАВАТЬ</v>
          </cell>
          <cell r="D378" t="str">
            <v>В РОЗЫСКЕ</v>
          </cell>
          <cell r="E378"/>
          <cell r="F378"/>
          <cell r="G378" t="str">
            <v>Только под полную стоимость оборудования</v>
          </cell>
        </row>
        <row r="379">
          <cell r="A379" t="str">
            <v>Агаев Эльман Азим оглы</v>
          </cell>
          <cell r="B379">
            <v>21969</v>
          </cell>
          <cell r="C379" t="str">
            <v>НЕВЫДАВАТЬ</v>
          </cell>
          <cell r="D379" t="str">
            <v>В РОЗЫСКЕ</v>
          </cell>
          <cell r="E379"/>
          <cell r="F379"/>
          <cell r="G379" t="str">
            <v>Только под полную стоимость оборудования</v>
          </cell>
        </row>
        <row r="380">
          <cell r="A380" t="str">
            <v>Агарьков Владимир Александрович</v>
          </cell>
          <cell r="B380">
            <v>22853</v>
          </cell>
          <cell r="C380" t="str">
            <v>НЕВЫДАВАТЬ</v>
          </cell>
          <cell r="D380" t="str">
            <v>В РОЗЫСКЕ</v>
          </cell>
          <cell r="E380"/>
          <cell r="F380"/>
          <cell r="G380" t="str">
            <v>Только под полную стоимость оборудования</v>
          </cell>
        </row>
        <row r="381">
          <cell r="A381" t="str">
            <v>Агеев Владимир Николаевич</v>
          </cell>
          <cell r="B381">
            <v>19834</v>
          </cell>
          <cell r="C381" t="str">
            <v>НЕВЫДАВАТЬ</v>
          </cell>
          <cell r="D381" t="str">
            <v>В РОЗЫСКЕ</v>
          </cell>
          <cell r="E381"/>
          <cell r="F381"/>
          <cell r="G381" t="str">
            <v>Только под полную стоимость оборудования</v>
          </cell>
        </row>
        <row r="382">
          <cell r="A382" t="str">
            <v>Адбыганиев Талантбек Сапарбекович</v>
          </cell>
          <cell r="B382">
            <v>28487</v>
          </cell>
          <cell r="C382" t="str">
            <v>НЕВЫДАВАТЬ</v>
          </cell>
          <cell r="D382" t="str">
            <v>В РОЗЫСКЕ</v>
          </cell>
          <cell r="E382"/>
          <cell r="F382"/>
          <cell r="G382" t="str">
            <v>Только под полную стоимость оборудования</v>
          </cell>
        </row>
        <row r="383">
          <cell r="A383" t="str">
            <v>Адгезалов Суджаудин Ага Баба Оглы</v>
          </cell>
          <cell r="B383">
            <v>21345</v>
          </cell>
          <cell r="C383" t="str">
            <v>НЕВЫДАВАТЬ</v>
          </cell>
          <cell r="D383" t="str">
            <v>В РОЗЫСКЕ</v>
          </cell>
          <cell r="E383"/>
          <cell r="F383"/>
          <cell r="G383" t="str">
            <v>Только под полную стоимость оборудования</v>
          </cell>
        </row>
        <row r="384">
          <cell r="A384" t="str">
            <v>Аденов Алмазбек Кубанычбекович</v>
          </cell>
          <cell r="B384" t="str">
            <v>27.011959</v>
          </cell>
          <cell r="C384" t="str">
            <v>НЕВЫДАВАТЬ</v>
          </cell>
          <cell r="D384" t="str">
            <v>В РОЗЫСКЕ</v>
          </cell>
          <cell r="E384"/>
          <cell r="F384"/>
          <cell r="G384" t="str">
            <v>Только под полную стоимость оборудования</v>
          </cell>
        </row>
        <row r="385">
          <cell r="A385" t="str">
            <v xml:space="preserve">Аджиева Мирослава Владимировна </v>
          </cell>
          <cell r="B385">
            <v>27123</v>
          </cell>
          <cell r="C385" t="str">
            <v>НЕВЫДАВАТЬ</v>
          </cell>
          <cell r="D385" t="str">
            <v>В РОЗЫСКЕ</v>
          </cell>
          <cell r="E385"/>
          <cell r="F385"/>
          <cell r="G385" t="str">
            <v>Только под полную стоимость оборудования</v>
          </cell>
        </row>
        <row r="386">
          <cell r="A386" t="str">
            <v>Адимов Нурдин Ураимович</v>
          </cell>
          <cell r="B386">
            <v>29569</v>
          </cell>
          <cell r="C386" t="str">
            <v>НЕВЫДАВАТЬ</v>
          </cell>
          <cell r="D386" t="str">
            <v>В РОЗЫСКЕ</v>
          </cell>
          <cell r="E386"/>
          <cell r="F386"/>
          <cell r="G386" t="str">
            <v>Только под полную стоимость оборудования</v>
          </cell>
        </row>
        <row r="387">
          <cell r="A387" t="str">
            <v>Ажикулов Саттарбай Шарапбаевич</v>
          </cell>
          <cell r="B387">
            <v>29809</v>
          </cell>
          <cell r="C387" t="str">
            <v>НЕВЫДАВАТЬ</v>
          </cell>
          <cell r="D387" t="str">
            <v>В РОЗЫСКЕ</v>
          </cell>
          <cell r="E387"/>
          <cell r="F387"/>
          <cell r="G387" t="str">
            <v>Только под полную стоимость оборудования</v>
          </cell>
        </row>
        <row r="388">
          <cell r="A388" t="str">
            <v>Азамов Музаффарджон Мирзоджонович</v>
          </cell>
          <cell r="B388">
            <v>33793</v>
          </cell>
          <cell r="C388" t="str">
            <v>НЕВЫДАВАТЬ</v>
          </cell>
          <cell r="D388" t="str">
            <v>В РОЗЫСКЕ</v>
          </cell>
          <cell r="E388"/>
          <cell r="F388"/>
          <cell r="G388" t="str">
            <v>Только под полную стоимость оборудования</v>
          </cell>
        </row>
        <row r="389">
          <cell r="A389" t="str">
            <v>Азимбаев Арман Байбосын улы</v>
          </cell>
          <cell r="B389">
            <v>29221</v>
          </cell>
          <cell r="C389" t="str">
            <v>НЕВЫДАВАТЬ</v>
          </cell>
          <cell r="D389" t="str">
            <v>В РОЗЫСКЕ</v>
          </cell>
          <cell r="E389"/>
          <cell r="F389"/>
          <cell r="G389" t="str">
            <v>Только под полную стоимость оборудования</v>
          </cell>
        </row>
        <row r="390">
          <cell r="A390" t="str">
            <v>Азимканов Тенизбай Алымкулович</v>
          </cell>
          <cell r="B390">
            <v>20530</v>
          </cell>
          <cell r="C390" t="str">
            <v>НЕВЫДАВАТЬ</v>
          </cell>
          <cell r="D390" t="str">
            <v>В РОЗЫСКЕ</v>
          </cell>
          <cell r="E390"/>
          <cell r="F390"/>
          <cell r="G390" t="str">
            <v>Только под полную стоимость оборудования</v>
          </cell>
        </row>
        <row r="391">
          <cell r="A391" t="str">
            <v>Азимов Бахтияржан Нематович</v>
          </cell>
          <cell r="B391">
            <v>28024</v>
          </cell>
          <cell r="C391" t="str">
            <v>НЕВЫДАВАТЬ</v>
          </cell>
          <cell r="D391" t="str">
            <v>В РОЗЫСКЕ</v>
          </cell>
          <cell r="E391"/>
          <cell r="F391"/>
          <cell r="G391" t="str">
            <v>Только под полную стоимость оборудования</v>
          </cell>
        </row>
        <row r="392">
          <cell r="A392" t="str">
            <v>Айдарканов Куралбек Чынарбекович</v>
          </cell>
          <cell r="B392">
            <v>23806</v>
          </cell>
          <cell r="C392" t="str">
            <v>НЕВЫДАВАТЬ</v>
          </cell>
          <cell r="D392" t="str">
            <v>В РОЗЫСКЕ</v>
          </cell>
          <cell r="E392"/>
          <cell r="F392"/>
          <cell r="G392" t="str">
            <v>Только под полную стоимость оборудования</v>
          </cell>
        </row>
        <row r="393">
          <cell r="A393" t="str">
            <v>Айдаров Азамат Саттарович</v>
          </cell>
          <cell r="B393">
            <v>33222</v>
          </cell>
          <cell r="C393" t="str">
            <v>НЕВЫДАВАТЬ</v>
          </cell>
          <cell r="D393" t="str">
            <v>В РОЗЫСКЕ</v>
          </cell>
          <cell r="E393"/>
          <cell r="F393"/>
          <cell r="G393" t="str">
            <v>Только под полную стоимость оборудования</v>
          </cell>
        </row>
        <row r="394">
          <cell r="A394" t="str">
            <v xml:space="preserve">Аймурзаев Марат Науканович </v>
          </cell>
          <cell r="B394">
            <v>15742</v>
          </cell>
          <cell r="C394" t="str">
            <v>НЕВЫДАВАТЬ</v>
          </cell>
          <cell r="D394" t="str">
            <v>В РОЗЫСКЕ</v>
          </cell>
          <cell r="E394"/>
          <cell r="F394"/>
          <cell r="G394" t="str">
            <v>Только под полную стоимость оборудования</v>
          </cell>
        </row>
        <row r="395">
          <cell r="A395" t="str">
            <v xml:space="preserve">Аймурзаев Марат Науканович </v>
          </cell>
          <cell r="B395">
            <v>15742</v>
          </cell>
          <cell r="C395" t="str">
            <v>НЕВЫДАВАТЬ</v>
          </cell>
          <cell r="D395" t="str">
            <v>В РОЗЫСКЕ</v>
          </cell>
          <cell r="E395"/>
          <cell r="F395"/>
          <cell r="G395" t="str">
            <v>Только под полную стоимость оборудования</v>
          </cell>
        </row>
        <row r="396">
          <cell r="A396" t="str">
            <v xml:space="preserve">Айсулуу  </v>
          </cell>
          <cell r="B396">
            <v>34746</v>
          </cell>
          <cell r="C396" t="str">
            <v>НЕВЫДАВАТЬ</v>
          </cell>
          <cell r="D396" t="str">
            <v>В РОЗЫСКЕ</v>
          </cell>
          <cell r="E396"/>
          <cell r="F396"/>
          <cell r="G396" t="str">
            <v>Только под полную стоимость оборудования</v>
          </cell>
        </row>
        <row r="397">
          <cell r="A397" t="str">
            <v>Айтанов Улан Муратович</v>
          </cell>
          <cell r="B397">
            <v>31376</v>
          </cell>
          <cell r="C397" t="str">
            <v>НЕВЫДАВАТЬ</v>
          </cell>
          <cell r="D397" t="str">
            <v>В РОЗЫСКЕ</v>
          </cell>
          <cell r="E397"/>
          <cell r="F397"/>
          <cell r="G397" t="str">
            <v>Только под полную стоимость оборудования</v>
          </cell>
        </row>
        <row r="398">
          <cell r="A398" t="str">
            <v xml:space="preserve">Айтбаев Эркен Абдуллаевич </v>
          </cell>
          <cell r="B398">
            <v>26571</v>
          </cell>
          <cell r="C398" t="str">
            <v>НЕВЫДАВАТЬ</v>
          </cell>
          <cell r="D398" t="str">
            <v>В РОЗЫСКЕ</v>
          </cell>
          <cell r="E398"/>
          <cell r="F398"/>
          <cell r="G398" t="str">
            <v>Только под полную стоимость оборудования</v>
          </cell>
        </row>
        <row r="399">
          <cell r="A399" t="str">
            <v>Айтмурзаев Эрмек Бостонович</v>
          </cell>
          <cell r="B399">
            <v>25610</v>
          </cell>
          <cell r="C399" t="str">
            <v>НЕВЫДАВАТЬ</v>
          </cell>
          <cell r="D399" t="str">
            <v>В РОЗЫСКЕ</v>
          </cell>
          <cell r="E399"/>
          <cell r="F399"/>
          <cell r="G399" t="str">
            <v>Только под полную стоимость оборудования</v>
          </cell>
        </row>
        <row r="400">
          <cell r="A400" t="str">
            <v>Акбароав Ибрагимжан Ташпулатович</v>
          </cell>
          <cell r="B400">
            <v>28447</v>
          </cell>
          <cell r="C400" t="str">
            <v>НЕВЫДАВАТЬ</v>
          </cell>
          <cell r="D400" t="str">
            <v>В РОЗЫСКЕ</v>
          </cell>
          <cell r="E400"/>
          <cell r="F400"/>
          <cell r="G400" t="str">
            <v>Только под полную стоимость оборудования</v>
          </cell>
        </row>
        <row r="401">
          <cell r="A401" t="str">
            <v>Акбаров Вахиджон Эркинович</v>
          </cell>
          <cell r="B401">
            <v>26749</v>
          </cell>
          <cell r="C401" t="str">
            <v>НЕВЫДАВАТЬ</v>
          </cell>
          <cell r="D401" t="str">
            <v>В РОЗЫСКЕ</v>
          </cell>
          <cell r="E401"/>
          <cell r="F401"/>
          <cell r="G401" t="str">
            <v>Только под полную стоимость оборудования</v>
          </cell>
        </row>
        <row r="402">
          <cell r="A402" t="str">
            <v>Акбаров Насыржан Мелибаевич</v>
          </cell>
          <cell r="B402" t="str">
            <v>08.03.1957   .</v>
          </cell>
          <cell r="C402" t="str">
            <v>НЕВЫДАВАТЬ</v>
          </cell>
          <cell r="D402" t="str">
            <v>В РОЗЫСКЕ</v>
          </cell>
          <cell r="E402"/>
          <cell r="F402"/>
          <cell r="G402" t="str">
            <v>Только под полную стоимость оборудования</v>
          </cell>
        </row>
        <row r="403">
          <cell r="A403" t="str">
            <v xml:space="preserve">Акбаров Равшан Худайбердиевич </v>
          </cell>
          <cell r="B403">
            <v>23044</v>
          </cell>
          <cell r="C403" t="str">
            <v>НЕВЫДАВАТЬ</v>
          </cell>
          <cell r="D403" t="str">
            <v>В РОЗЫСКЕ</v>
          </cell>
          <cell r="E403"/>
          <cell r="F403"/>
          <cell r="G403" t="str">
            <v>Только под полную стоимость оборудования</v>
          </cell>
        </row>
        <row r="404">
          <cell r="A404" t="str">
            <v>Акилов Давран Анварович</v>
          </cell>
          <cell r="B404">
            <v>33510</v>
          </cell>
          <cell r="C404" t="str">
            <v>НЕВЫДАВАТЬ</v>
          </cell>
          <cell r="D404" t="str">
            <v>В РОЗЫСКЕ</v>
          </cell>
          <cell r="E404"/>
          <cell r="F404"/>
          <cell r="G404" t="str">
            <v>Только под полную стоимость оборудования</v>
          </cell>
        </row>
        <row r="405">
          <cell r="A405" t="str">
            <v>Акматалиев Бактыбек Жолдошевич</v>
          </cell>
          <cell r="B405">
            <v>22718</v>
          </cell>
          <cell r="C405" t="str">
            <v>НЕВЫДАВАТЬ</v>
          </cell>
          <cell r="D405" t="str">
            <v>В РОЗЫСКЕ</v>
          </cell>
          <cell r="E405"/>
          <cell r="F405"/>
          <cell r="G405" t="str">
            <v>Только под полную стоимость оборудования</v>
          </cell>
        </row>
        <row r="406">
          <cell r="A406" t="str">
            <v>Акрамов Анваржон Ахматович</v>
          </cell>
          <cell r="B406">
            <v>32522</v>
          </cell>
          <cell r="C406" t="str">
            <v>НЕВЫДАВАТЬ</v>
          </cell>
          <cell r="D406" t="str">
            <v>В РОЗЫСКЕ</v>
          </cell>
          <cell r="E406"/>
          <cell r="F406"/>
          <cell r="G406" t="str">
            <v>Только под полную стоимость оборудования</v>
          </cell>
        </row>
        <row r="407">
          <cell r="A407" t="str">
            <v>Аксенов Игорь Николаевич</v>
          </cell>
          <cell r="B407">
            <v>27773</v>
          </cell>
          <cell r="C407" t="str">
            <v>НЕВЫДАВАТЬ</v>
          </cell>
          <cell r="D407" t="str">
            <v>В РОЗЫСКЕ</v>
          </cell>
          <cell r="E407"/>
          <cell r="F407"/>
          <cell r="G407" t="str">
            <v>Только под полную стоимость оборудования</v>
          </cell>
        </row>
        <row r="408">
          <cell r="A408" t="str">
            <v>Алахунов Жоробай Юлдашевич</v>
          </cell>
          <cell r="B408">
            <v>28374</v>
          </cell>
          <cell r="C408" t="str">
            <v>НЕВЫДАВАТЬ</v>
          </cell>
          <cell r="D408" t="str">
            <v>В РОЗЫСКЕ</v>
          </cell>
          <cell r="E408"/>
          <cell r="F408"/>
          <cell r="G408" t="str">
            <v>Только под полную стоимость оборудования</v>
          </cell>
        </row>
        <row r="409">
          <cell r="A409" t="str">
            <v>Александрова Мира Александровна</v>
          </cell>
          <cell r="B409">
            <v>27617</v>
          </cell>
          <cell r="C409" t="str">
            <v>НЕВЫДАВАТЬ</v>
          </cell>
          <cell r="D409" t="str">
            <v>В РОЗЫСКЕ</v>
          </cell>
          <cell r="E409"/>
          <cell r="F409"/>
          <cell r="G409" t="str">
            <v>Только под полную стоимость оборудования</v>
          </cell>
        </row>
        <row r="410">
          <cell r="A410" t="str">
            <v>Аленов Мурат Камешович</v>
          </cell>
          <cell r="B410">
            <v>22240</v>
          </cell>
          <cell r="C410" t="str">
            <v>НЕВЫДАВАТЬ</v>
          </cell>
          <cell r="D410" t="str">
            <v>В РОЗЫСКЕ</v>
          </cell>
          <cell r="E410"/>
          <cell r="F410"/>
          <cell r="G410" t="str">
            <v>Только под полную стоимость оборудования</v>
          </cell>
        </row>
        <row r="411">
          <cell r="A411" t="str">
            <v xml:space="preserve">Али Батур </v>
          </cell>
          <cell r="B411">
            <v>25182</v>
          </cell>
          <cell r="C411" t="str">
            <v>НЕВЫДАВАТЬ</v>
          </cell>
          <cell r="D411" t="str">
            <v>В РОЗЫСКЕ</v>
          </cell>
          <cell r="E411"/>
          <cell r="F411"/>
          <cell r="G411" t="str">
            <v>Только под полную стоимость оборудования</v>
          </cell>
        </row>
        <row r="412">
          <cell r="A412" t="str">
            <v xml:space="preserve">Алиасгар Давуди Вали </v>
          </cell>
          <cell r="B412">
            <v>1970</v>
          </cell>
          <cell r="C412" t="str">
            <v>НЕВЫДАВАТЬ</v>
          </cell>
          <cell r="D412" t="str">
            <v>В РОЗЫСКЕ</v>
          </cell>
          <cell r="E412"/>
          <cell r="F412"/>
          <cell r="G412" t="str">
            <v>Только под полную стоимость оборудования</v>
          </cell>
        </row>
        <row r="413">
          <cell r="A413" t="str">
            <v>Алибаев Кубатбек Нишанович</v>
          </cell>
          <cell r="B413">
            <v>24302</v>
          </cell>
          <cell r="C413" t="str">
            <v>НЕВЫДАВАТЬ</v>
          </cell>
          <cell r="D413" t="str">
            <v>В РОЗЫСКЕ</v>
          </cell>
          <cell r="E413"/>
          <cell r="F413"/>
          <cell r="G413" t="str">
            <v>Только под полную стоимость оборудования</v>
          </cell>
        </row>
        <row r="414">
          <cell r="A414" t="str">
            <v>Алиев Серик Касенович</v>
          </cell>
          <cell r="B414">
            <v>27102</v>
          </cell>
          <cell r="C414" t="str">
            <v>НЕВЫДАВАТЬ</v>
          </cell>
          <cell r="D414" t="str">
            <v>В РОЗЫСКЕ</v>
          </cell>
          <cell r="E414"/>
          <cell r="F414"/>
          <cell r="G414" t="str">
            <v>Только под полную стоимость оборудования</v>
          </cell>
        </row>
        <row r="415">
          <cell r="A415" t="str">
            <v xml:space="preserve">Алимканов Айтмамат Сейитович </v>
          </cell>
          <cell r="B415">
            <v>30931</v>
          </cell>
          <cell r="C415" t="str">
            <v>НЕВЫДАВАТЬ</v>
          </cell>
          <cell r="D415" t="str">
            <v>В РОЗЫСКЕ</v>
          </cell>
          <cell r="E415"/>
          <cell r="F415"/>
          <cell r="G415" t="str">
            <v>Только под полную стоимость оборудования</v>
          </cell>
        </row>
        <row r="416">
          <cell r="A416" t="str">
            <v>Алимкулов Муслим Шакирович</v>
          </cell>
          <cell r="B416" t="str">
            <v>21.07.1987   .</v>
          </cell>
          <cell r="C416" t="str">
            <v>НЕВЫДАВАТЬ</v>
          </cell>
          <cell r="D416" t="str">
            <v>В РОЗЫСКЕ</v>
          </cell>
          <cell r="E416"/>
          <cell r="F416"/>
          <cell r="G416" t="str">
            <v>Только под полную стоимость оборудования</v>
          </cell>
        </row>
        <row r="417">
          <cell r="A417" t="str">
            <v>Алиханов Исламжон Анворжан</v>
          </cell>
          <cell r="B417">
            <v>35476</v>
          </cell>
          <cell r="C417" t="str">
            <v>НЕВЫДАВАТЬ</v>
          </cell>
          <cell r="D417" t="str">
            <v>В РОЗЫСКЕ</v>
          </cell>
          <cell r="E417"/>
          <cell r="F417"/>
          <cell r="G417" t="str">
            <v>Только под полную стоимость оборудования</v>
          </cell>
        </row>
        <row r="418">
          <cell r="A418" t="str">
            <v xml:space="preserve">Алымкожоев Камчыбек Кудайбергенович </v>
          </cell>
          <cell r="B418">
            <v>25575</v>
          </cell>
          <cell r="C418" t="str">
            <v>НЕВЫДАВАТЬ</v>
          </cell>
          <cell r="D418" t="str">
            <v>В РОЗЫСКЕ</v>
          </cell>
          <cell r="E418"/>
          <cell r="F418"/>
          <cell r="G418" t="str">
            <v>Только под полную стоимость оборудования</v>
          </cell>
        </row>
        <row r="419">
          <cell r="A419" t="str">
            <v xml:space="preserve">Алымкулов Алмаз Маликович </v>
          </cell>
          <cell r="B419">
            <v>32774</v>
          </cell>
          <cell r="C419" t="str">
            <v>НЕВЫДАВАТЬ</v>
          </cell>
          <cell r="D419" t="str">
            <v>В РОЗЫСКЕ</v>
          </cell>
          <cell r="E419"/>
          <cell r="F419"/>
          <cell r="G419" t="str">
            <v>Только под полную стоимость оборудования</v>
          </cell>
        </row>
        <row r="420">
          <cell r="A420" t="str">
            <v>Аманов Шерболот Эргешович</v>
          </cell>
          <cell r="B420">
            <v>22149</v>
          </cell>
          <cell r="C420" t="str">
            <v>НЕВЫДАВАТЬ</v>
          </cell>
          <cell r="D420" t="str">
            <v>В РОЗЫСКЕ</v>
          </cell>
          <cell r="E420"/>
          <cell r="F420"/>
          <cell r="G420" t="str">
            <v>Только под полную стоимость оборудования</v>
          </cell>
        </row>
        <row r="421">
          <cell r="A421" t="str">
            <v>Аматов Алмазбек Сапарбаевич</v>
          </cell>
          <cell r="B421">
            <v>25228</v>
          </cell>
          <cell r="C421" t="str">
            <v>НЕВЫДАВАТЬ</v>
          </cell>
          <cell r="D421" t="str">
            <v>В РОЗЫСКЕ</v>
          </cell>
          <cell r="E421"/>
          <cell r="F421"/>
          <cell r="G421" t="str">
            <v>Только под полную стоимость оборудования</v>
          </cell>
        </row>
        <row r="422">
          <cell r="A422" t="str">
            <v>Аметов Турсунбек Асылбекович</v>
          </cell>
          <cell r="B422">
            <v>31725</v>
          </cell>
          <cell r="C422" t="str">
            <v>НЕВЫДАВАТЬ</v>
          </cell>
          <cell r="D422" t="str">
            <v>В РОЗЫСКЕ</v>
          </cell>
          <cell r="E422"/>
          <cell r="F422"/>
          <cell r="G422" t="str">
            <v>Только под полную стоимость оборудования</v>
          </cell>
        </row>
        <row r="423">
          <cell r="A423" t="str">
            <v>Амиров Алмазбек Бакыевич</v>
          </cell>
          <cell r="B423">
            <v>27276</v>
          </cell>
          <cell r="C423" t="str">
            <v>НЕВЫДАВАТЬ</v>
          </cell>
          <cell r="D423" t="str">
            <v>В РОЗЫСКЕ</v>
          </cell>
          <cell r="E423"/>
          <cell r="F423"/>
          <cell r="G423" t="str">
            <v>Только под полную стоимость оборудования</v>
          </cell>
        </row>
        <row r="424">
          <cell r="A424" t="str">
            <v>Андрусевич Иван Валерьевич</v>
          </cell>
          <cell r="B424">
            <v>28747</v>
          </cell>
          <cell r="C424" t="str">
            <v>НЕВЫДАВАТЬ</v>
          </cell>
          <cell r="D424" t="str">
            <v>В РОЗЫСКЕ</v>
          </cell>
          <cell r="E424"/>
          <cell r="F424"/>
          <cell r="G424" t="str">
            <v>Только под полную стоимость оборудования</v>
          </cell>
        </row>
        <row r="425">
          <cell r="A425" t="str">
            <v>Аносов Александр Сергеевич</v>
          </cell>
          <cell r="B425">
            <v>32161</v>
          </cell>
          <cell r="C425" t="str">
            <v>НЕВЫДАВАТЬ</v>
          </cell>
          <cell r="D425" t="str">
            <v>В РОЗЫСКЕ</v>
          </cell>
          <cell r="E425"/>
          <cell r="F425"/>
          <cell r="G425" t="str">
            <v>Только под полную стоимость оборудования</v>
          </cell>
        </row>
        <row r="426">
          <cell r="A426" t="str">
            <v>Арзамазова Вероника Алексеевна</v>
          </cell>
          <cell r="B426">
            <v>34866</v>
          </cell>
          <cell r="C426" t="str">
            <v>НЕВЫДАВАТЬ</v>
          </cell>
          <cell r="D426" t="str">
            <v>В РОЗЫСКЕ</v>
          </cell>
          <cell r="E426"/>
          <cell r="F426"/>
          <cell r="G426" t="str">
            <v>Только под полную стоимость оборудования</v>
          </cell>
        </row>
        <row r="427">
          <cell r="A427" t="str">
            <v xml:space="preserve">Арзыкулов Темирлан Тилекабылович </v>
          </cell>
          <cell r="B427">
            <v>28665</v>
          </cell>
          <cell r="C427" t="str">
            <v>НЕВЫДАВАТЬ</v>
          </cell>
          <cell r="D427" t="str">
            <v>В РОЗЫСКЕ</v>
          </cell>
          <cell r="E427"/>
          <cell r="F427"/>
          <cell r="G427" t="str">
            <v>Только под полную стоимость оборудования</v>
          </cell>
        </row>
        <row r="428">
          <cell r="A428" t="str">
            <v>Арипжан уулу Аскатбек</v>
          </cell>
          <cell r="B428">
            <v>34001</v>
          </cell>
          <cell r="C428" t="str">
            <v>НЕВЫДАВАТЬ</v>
          </cell>
          <cell r="D428" t="str">
            <v>В РОЗЫСКЕ</v>
          </cell>
          <cell r="E428"/>
          <cell r="F428"/>
          <cell r="G428" t="str">
            <v>Только под полную стоимость оборудования</v>
          </cell>
        </row>
        <row r="429">
          <cell r="A429" t="str">
            <v>Арнаутов Иван Николаевич</v>
          </cell>
          <cell r="B429">
            <v>28097</v>
          </cell>
          <cell r="C429" t="str">
            <v>НЕВЫДАВАТЬ</v>
          </cell>
          <cell r="D429" t="str">
            <v>В РОЗЫСКЕ</v>
          </cell>
          <cell r="E429"/>
          <cell r="F429"/>
          <cell r="G429" t="str">
            <v>Только под полную стоимость оборудования</v>
          </cell>
        </row>
        <row r="430">
          <cell r="A430" t="str">
            <v>Артюхов Сергей Викторович</v>
          </cell>
          <cell r="B430">
            <v>23511</v>
          </cell>
          <cell r="C430" t="str">
            <v>НЕВЫДАВАТЬ</v>
          </cell>
          <cell r="D430" t="str">
            <v>В РОЗЫСКЕ</v>
          </cell>
          <cell r="E430"/>
          <cell r="F430"/>
          <cell r="G430" t="str">
            <v>Только под полную стоимость оборудования</v>
          </cell>
        </row>
        <row r="431">
          <cell r="A431" t="str">
            <v xml:space="preserve">Асанов Александр Александрович </v>
          </cell>
          <cell r="B431">
            <v>20684</v>
          </cell>
          <cell r="C431" t="str">
            <v>НЕВЫДАВАТЬ</v>
          </cell>
          <cell r="D431" t="str">
            <v>В РОЗЫСКЕ</v>
          </cell>
          <cell r="E431"/>
          <cell r="F431"/>
          <cell r="G431" t="str">
            <v>Только под полную стоимость оборудования</v>
          </cell>
        </row>
        <row r="432">
          <cell r="A432" t="str">
            <v>Асанов Бекжан Аскарбекович</v>
          </cell>
          <cell r="B432">
            <v>27291</v>
          </cell>
          <cell r="C432" t="str">
            <v>НЕВЫДАВАТЬ</v>
          </cell>
          <cell r="D432" t="str">
            <v>В РОЗЫСКЕ</v>
          </cell>
          <cell r="E432"/>
          <cell r="F432"/>
          <cell r="G432" t="str">
            <v>Только под полную стоимость оборудования</v>
          </cell>
        </row>
        <row r="433">
          <cell r="A433" t="str">
            <v xml:space="preserve">Асанов Курстанбек Кокоевич </v>
          </cell>
          <cell r="B433">
            <v>25315</v>
          </cell>
          <cell r="C433" t="str">
            <v>НЕВЫДАВАТЬ</v>
          </cell>
          <cell r="D433" t="str">
            <v>В РОЗЫСКЕ</v>
          </cell>
          <cell r="E433"/>
          <cell r="F433"/>
          <cell r="G433" t="str">
            <v>Только под полную стоимость оборудования</v>
          </cell>
        </row>
        <row r="434">
          <cell r="A434" t="str">
            <v xml:space="preserve">Асанов Муканбет </v>
          </cell>
          <cell r="B434">
            <v>18755</v>
          </cell>
          <cell r="C434" t="str">
            <v>НЕВЫДАВАТЬ</v>
          </cell>
          <cell r="D434" t="str">
            <v>В РОЗЫСКЕ</v>
          </cell>
          <cell r="E434"/>
          <cell r="F434"/>
          <cell r="G434" t="str">
            <v>Только под полную стоимость оборудования</v>
          </cell>
        </row>
        <row r="435">
          <cell r="A435" t="str">
            <v>Аскаров Алишер Идиваитович</v>
          </cell>
          <cell r="B435" t="str">
            <v>23.03.1969   .</v>
          </cell>
          <cell r="C435" t="str">
            <v>НЕВЫДАВАТЬ</v>
          </cell>
          <cell r="D435" t="str">
            <v>В РОЗЫСКЕ</v>
          </cell>
          <cell r="E435"/>
          <cell r="F435"/>
          <cell r="G435" t="str">
            <v>Только под полную стоимость оборудования</v>
          </cell>
        </row>
        <row r="436">
          <cell r="A436" t="str">
            <v>Аскаров Марсбек Тынычбекович</v>
          </cell>
          <cell r="B436">
            <v>29399</v>
          </cell>
          <cell r="C436" t="str">
            <v>НЕВЫДАВАТЬ</v>
          </cell>
          <cell r="D436" t="str">
            <v>В РОЗЫСКЕ</v>
          </cell>
          <cell r="E436"/>
          <cell r="F436"/>
          <cell r="G436" t="str">
            <v>Только под полную стоимость оборудования</v>
          </cell>
        </row>
        <row r="437">
          <cell r="A437" t="str">
            <v>Асланов Бахтияр Играгимоглы</v>
          </cell>
          <cell r="B437">
            <v>24528</v>
          </cell>
          <cell r="C437" t="str">
            <v>НЕВЫДАВАТЬ</v>
          </cell>
          <cell r="D437" t="str">
            <v>В РОЗЫСКЕ</v>
          </cell>
          <cell r="E437"/>
          <cell r="F437"/>
          <cell r="G437" t="str">
            <v>Только под полную стоимость оборудования</v>
          </cell>
        </row>
        <row r="438">
          <cell r="A438" t="str">
            <v xml:space="preserve">Асылбеков Бактыбек Кочорбаевич </v>
          </cell>
          <cell r="B438">
            <v>27633</v>
          </cell>
          <cell r="C438" t="str">
            <v>НЕВЫДАВАТЬ</v>
          </cell>
          <cell r="D438" t="str">
            <v>В РОЗЫСКЕ</v>
          </cell>
          <cell r="E438"/>
          <cell r="F438"/>
          <cell r="G438" t="str">
            <v>Только под полную стоимость оборудования</v>
          </cell>
        </row>
        <row r="439">
          <cell r="A439" t="str">
            <v>Атабаев Эдилбек Давлет улы</v>
          </cell>
          <cell r="B439">
            <v>34531</v>
          </cell>
          <cell r="C439" t="str">
            <v>НЕВЫДАВАТЬ</v>
          </cell>
          <cell r="D439" t="str">
            <v>В РОЗЫСКЕ</v>
          </cell>
          <cell r="E439"/>
          <cell r="F439"/>
          <cell r="G439" t="str">
            <v>Только под полную стоимость оборудования</v>
          </cell>
        </row>
        <row r="440">
          <cell r="A440" t="str">
            <v>Атабеков Бекнур Жанышбекович</v>
          </cell>
          <cell r="B440">
            <v>33347</v>
          </cell>
          <cell r="C440" t="str">
            <v>НЕВЫДАВАТЬ</v>
          </cell>
          <cell r="D440" t="str">
            <v>В РОЗЫСКЕ</v>
          </cell>
          <cell r="E440"/>
          <cell r="F440"/>
          <cell r="G440" t="str">
            <v>Только под полную стоимость оборудования</v>
          </cell>
        </row>
        <row r="441">
          <cell r="A441" t="str">
            <v xml:space="preserve">Атаев Хусеин Гачарович </v>
          </cell>
          <cell r="B441">
            <v>22656</v>
          </cell>
          <cell r="C441" t="str">
            <v>НЕВЫДАВАТЬ</v>
          </cell>
          <cell r="D441" t="str">
            <v>В РОЗЫСКЕ</v>
          </cell>
          <cell r="E441"/>
          <cell r="F441"/>
          <cell r="G441" t="str">
            <v>Только под полную стоимость оборудования</v>
          </cell>
        </row>
        <row r="442">
          <cell r="A442" t="str">
            <v>Атамаматов Имаманазар Алиназарович</v>
          </cell>
          <cell r="B442">
            <v>22304</v>
          </cell>
          <cell r="C442" t="str">
            <v>НЕВЫДАВАТЬ</v>
          </cell>
          <cell r="D442" t="str">
            <v>В РОЗЫСКЕ</v>
          </cell>
          <cell r="E442"/>
          <cell r="F442"/>
          <cell r="G442" t="str">
            <v>Только под полную стоимость оборудования</v>
          </cell>
        </row>
        <row r="443">
          <cell r="A443" t="str">
            <v xml:space="preserve">Атаназаров Баходир Кучкарович </v>
          </cell>
          <cell r="B443">
            <v>25962</v>
          </cell>
          <cell r="C443" t="str">
            <v>НЕВЫДАВАТЬ</v>
          </cell>
          <cell r="D443" t="str">
            <v>В РОЗЫСКЕ</v>
          </cell>
          <cell r="E443"/>
          <cell r="F443"/>
          <cell r="G443" t="str">
            <v>Только под полную стоимость оборудования</v>
          </cell>
        </row>
        <row r="444">
          <cell r="A444" t="str">
            <v xml:space="preserve">Атаханов Нематжан Ахмедович </v>
          </cell>
          <cell r="B444">
            <v>26079</v>
          </cell>
          <cell r="C444" t="str">
            <v>НЕВЫДАВАТЬ</v>
          </cell>
          <cell r="D444" t="str">
            <v>В РОЗЫСКЕ</v>
          </cell>
          <cell r="E444"/>
          <cell r="F444"/>
          <cell r="G444" t="str">
            <v>Только под полную стоимость оборудования</v>
          </cell>
        </row>
        <row r="445">
          <cell r="A445" t="str">
            <v xml:space="preserve">Афанасков Александр Алексеевич </v>
          </cell>
          <cell r="B445">
            <v>23656</v>
          </cell>
          <cell r="C445" t="str">
            <v>НЕВЫДАВАТЬ</v>
          </cell>
          <cell r="D445" t="str">
            <v>В РОЗЫСКЕ</v>
          </cell>
          <cell r="E445"/>
          <cell r="F445"/>
          <cell r="G445" t="str">
            <v>Только под полную стоимость оборудования</v>
          </cell>
        </row>
        <row r="446">
          <cell r="A446" t="str">
            <v xml:space="preserve">Ахамадалиев Санжар </v>
          </cell>
          <cell r="B446">
            <v>27883</v>
          </cell>
          <cell r="C446" t="str">
            <v>НЕВЫДАВАТЬ</v>
          </cell>
          <cell r="D446" t="str">
            <v>В РОЗЫСКЕ</v>
          </cell>
          <cell r="E446"/>
          <cell r="F446"/>
          <cell r="G446" t="str">
            <v>Только под полную стоимость оборудования</v>
          </cell>
        </row>
        <row r="447">
          <cell r="A447" t="str">
            <v>Ахлупин Евгений Владимирович</v>
          </cell>
          <cell r="B447">
            <v>27305</v>
          </cell>
          <cell r="C447" t="str">
            <v>НЕВЫДАВАТЬ</v>
          </cell>
          <cell r="D447" t="str">
            <v>В РОЗЫСКЕ</v>
          </cell>
          <cell r="E447"/>
          <cell r="F447"/>
          <cell r="G447" t="str">
            <v>Только под полную стоимость оборудования</v>
          </cell>
        </row>
        <row r="448">
          <cell r="A448" t="str">
            <v>Ахмадалиев Абдурасул Абабакирович</v>
          </cell>
          <cell r="B448">
            <v>1973</v>
          </cell>
          <cell r="C448" t="str">
            <v>НЕВЫДАВАТЬ</v>
          </cell>
          <cell r="D448" t="str">
            <v>В РОЗЫСКЕ</v>
          </cell>
          <cell r="E448"/>
          <cell r="F448"/>
          <cell r="G448" t="str">
            <v>Только под полную стоимость оборудования</v>
          </cell>
        </row>
        <row r="449">
          <cell r="A449" t="str">
            <v>Ахмадуллаев Шухрат Ибайдуллаевич</v>
          </cell>
          <cell r="B449">
            <v>27299</v>
          </cell>
          <cell r="C449" t="str">
            <v>НЕВЫДАВАТЬ</v>
          </cell>
          <cell r="D449" t="str">
            <v>В РОЗЫСКЕ</v>
          </cell>
          <cell r="E449"/>
          <cell r="F449"/>
          <cell r="G449" t="str">
            <v>Только под полную стоимость оборудования</v>
          </cell>
        </row>
        <row r="450">
          <cell r="A450" t="str">
            <v>Ахматжанова Замира Махмудовна</v>
          </cell>
          <cell r="B450">
            <v>26089</v>
          </cell>
          <cell r="C450" t="str">
            <v>НЕВЫДАВАТЬ</v>
          </cell>
          <cell r="D450" t="str">
            <v>В РОЗЫСКЕ</v>
          </cell>
          <cell r="E450"/>
          <cell r="F450"/>
          <cell r="G450" t="str">
            <v>Только под полную стоимость оборудования</v>
          </cell>
        </row>
        <row r="451">
          <cell r="A451" t="str">
            <v xml:space="preserve">Ахмедов Айбек Муйдинович </v>
          </cell>
          <cell r="B451">
            <v>31675</v>
          </cell>
          <cell r="C451" t="str">
            <v>НЕВЫДАВАТЬ</v>
          </cell>
          <cell r="D451" t="str">
            <v>В РОЗЫСКЕ</v>
          </cell>
          <cell r="E451"/>
          <cell r="F451"/>
          <cell r="G451" t="str">
            <v>Только под полную стоимость оборудования</v>
          </cell>
        </row>
        <row r="452">
          <cell r="A452" t="str">
            <v>Ахмедов Акыл Мамасалиевич</v>
          </cell>
          <cell r="B452">
            <v>29095</v>
          </cell>
          <cell r="C452" t="str">
            <v>НЕВЫДАВАТЬ</v>
          </cell>
          <cell r="D452" t="str">
            <v>В РОЗЫСКЕ</v>
          </cell>
          <cell r="E452"/>
          <cell r="F452"/>
          <cell r="G452" t="str">
            <v>Только под полную стоимость оборудования</v>
          </cell>
        </row>
        <row r="453">
          <cell r="A453" t="str">
            <v>Ахмедов Ибрагим Дедамирзаевич</v>
          </cell>
          <cell r="B453" t="str">
            <v>03.07.1978   .</v>
          </cell>
          <cell r="C453" t="str">
            <v>НЕВЫДАВАТЬ</v>
          </cell>
          <cell r="D453" t="str">
            <v>В РОЗЫСКЕ</v>
          </cell>
          <cell r="E453"/>
          <cell r="F453"/>
          <cell r="G453" t="str">
            <v>Только под полную стоимость оборудования</v>
          </cell>
        </row>
        <row r="454">
          <cell r="A454" t="str">
            <v>Ахмедов Касымбек Давронович</v>
          </cell>
          <cell r="B454">
            <v>25957</v>
          </cell>
          <cell r="C454" t="str">
            <v>НЕВЫДАВАТЬ</v>
          </cell>
          <cell r="D454" t="str">
            <v>В РОЗЫСКЕ</v>
          </cell>
          <cell r="E454"/>
          <cell r="F454"/>
          <cell r="G454" t="str">
            <v>Только под полную стоимость оборудования</v>
          </cell>
        </row>
        <row r="455">
          <cell r="A455" t="str">
            <v>Ахмедов Мадалин Балтабаевич</v>
          </cell>
          <cell r="B455">
            <v>25260</v>
          </cell>
          <cell r="C455" t="str">
            <v>НЕВЫДАВАТЬ</v>
          </cell>
          <cell r="D455" t="str">
            <v>В РОЗЫСКЕ</v>
          </cell>
          <cell r="E455"/>
          <cell r="F455"/>
          <cell r="G455" t="str">
            <v>Только под полную стоимость оборудования</v>
          </cell>
        </row>
        <row r="456">
          <cell r="A456" t="str">
            <v>Ахмедов Негмурад Холмуродович</v>
          </cell>
          <cell r="B456">
            <v>25471</v>
          </cell>
          <cell r="C456" t="str">
            <v>НЕВЫДАВАТЬ</v>
          </cell>
          <cell r="D456" t="str">
            <v>В РОЗЫСКЕ</v>
          </cell>
          <cell r="E456"/>
          <cell r="F456"/>
          <cell r="G456" t="str">
            <v>Только под полную стоимость оборудования</v>
          </cell>
        </row>
        <row r="457">
          <cell r="A457" t="str">
            <v>Ахметов Кенжебек Койтыбаевич</v>
          </cell>
          <cell r="B457">
            <v>28787</v>
          </cell>
          <cell r="C457" t="str">
            <v>НЕВЫДАВАТЬ</v>
          </cell>
          <cell r="D457" t="str">
            <v>В РОЗЫСКЕ</v>
          </cell>
          <cell r="E457"/>
          <cell r="F457"/>
          <cell r="G457" t="str">
            <v>Только под полную стоимость оборудования</v>
          </cell>
        </row>
        <row r="458">
          <cell r="A458" t="str">
            <v>Аширбаев Медетбек Жумабекович</v>
          </cell>
          <cell r="B458">
            <v>23377</v>
          </cell>
          <cell r="C458" t="str">
            <v>НЕВЫДАВАТЬ</v>
          </cell>
          <cell r="D458" t="str">
            <v>В РОЗЫСКЕ</v>
          </cell>
          <cell r="E458"/>
          <cell r="F458"/>
          <cell r="G458" t="str">
            <v>Только под полную стоимость оборудования</v>
          </cell>
        </row>
        <row r="459">
          <cell r="A459" t="str">
            <v>Аширбеков Бекболсун Сагынбекович</v>
          </cell>
          <cell r="B459">
            <v>27433</v>
          </cell>
          <cell r="C459" t="str">
            <v>НЕВЫДАВАТЬ</v>
          </cell>
          <cell r="D459" t="str">
            <v>В РОЗЫСКЕ</v>
          </cell>
          <cell r="E459"/>
          <cell r="F459"/>
          <cell r="G459" t="str">
            <v>Только под полную стоимость оборудования</v>
          </cell>
        </row>
        <row r="460">
          <cell r="A460" t="str">
            <v>Бабаханов Пазылжан Иминжанович</v>
          </cell>
          <cell r="B460">
            <v>22098</v>
          </cell>
          <cell r="C460" t="str">
            <v>НЕВЫДАВАТЬ</v>
          </cell>
          <cell r="D460" t="str">
            <v>В РОЗЫСКЕ</v>
          </cell>
          <cell r="E460"/>
          <cell r="F460"/>
          <cell r="G460" t="str">
            <v>Только под полную стоимость оборудования</v>
          </cell>
        </row>
        <row r="461">
          <cell r="A461" t="str">
            <v>Бабыев Фархат Суранович</v>
          </cell>
          <cell r="B461">
            <v>31651</v>
          </cell>
          <cell r="C461" t="str">
            <v>НЕВЫДАВАТЬ</v>
          </cell>
          <cell r="D461" t="str">
            <v>В РОЗЫСКЕ</v>
          </cell>
          <cell r="E461"/>
          <cell r="F461"/>
          <cell r="G461" t="str">
            <v>Только под полную стоимость оборудования</v>
          </cell>
        </row>
        <row r="462">
          <cell r="A462" t="str">
            <v>Базарбаев Болотбек Карыбекович</v>
          </cell>
          <cell r="B462">
            <v>26062</v>
          </cell>
          <cell r="C462" t="str">
            <v>НЕВЫДАВАТЬ</v>
          </cell>
          <cell r="D462" t="str">
            <v>В РОЗЫСКЕ</v>
          </cell>
          <cell r="E462"/>
          <cell r="F462"/>
          <cell r="G462" t="str">
            <v>Только под полную стоимость оборудования</v>
          </cell>
        </row>
        <row r="463">
          <cell r="A463" t="str">
            <v>Байбуриев Кубан Рыспекович</v>
          </cell>
          <cell r="B463">
            <v>28797</v>
          </cell>
          <cell r="C463" t="str">
            <v>НЕВЫДАВАТЬ</v>
          </cell>
          <cell r="D463" t="str">
            <v>В РОЗЫСКЕ</v>
          </cell>
          <cell r="E463"/>
          <cell r="F463"/>
          <cell r="G463" t="str">
            <v>Только под полную стоимость оборудования</v>
          </cell>
        </row>
        <row r="464">
          <cell r="A464" t="str">
            <v xml:space="preserve">Байгазиев Аскар Жадыраевич </v>
          </cell>
          <cell r="B464">
            <v>25152</v>
          </cell>
          <cell r="C464" t="str">
            <v>НЕВЫДАВАТЬ</v>
          </cell>
          <cell r="D464" t="str">
            <v>В РОЗЫСКЕ</v>
          </cell>
          <cell r="E464"/>
          <cell r="F464"/>
          <cell r="G464" t="str">
            <v>Только под полную стоимость оборудования</v>
          </cell>
        </row>
        <row r="465">
          <cell r="A465" t="str">
            <v>Байкашкаев Шаршенбек Сыдыкович</v>
          </cell>
          <cell r="B465">
            <v>20206</v>
          </cell>
          <cell r="C465" t="str">
            <v>НЕВЫДАВАТЬ</v>
          </cell>
          <cell r="D465" t="str">
            <v>В РОЗЫСКЕ</v>
          </cell>
          <cell r="E465"/>
          <cell r="F465"/>
          <cell r="G465" t="str">
            <v>Только под полную стоимость оборудования</v>
          </cell>
        </row>
        <row r="466">
          <cell r="A466" t="str">
            <v>Байкулаков Сарсенбай Сапиевич</v>
          </cell>
          <cell r="B466">
            <v>24084</v>
          </cell>
          <cell r="C466" t="str">
            <v>НЕВЫДАВАТЬ</v>
          </cell>
          <cell r="D466" t="str">
            <v>В РОЗЫСКЕ</v>
          </cell>
          <cell r="E466"/>
          <cell r="F466"/>
          <cell r="G466" t="str">
            <v>Только под полную стоимость оборудования</v>
          </cell>
        </row>
        <row r="467">
          <cell r="A467" t="str">
            <v>Байсариев Женишбек Мырзабекович</v>
          </cell>
          <cell r="B467">
            <v>34119</v>
          </cell>
          <cell r="C467" t="str">
            <v>НЕВЫДАВАТЬ</v>
          </cell>
          <cell r="D467" t="str">
            <v>В РОЗЫСКЕ</v>
          </cell>
          <cell r="E467"/>
          <cell r="F467"/>
          <cell r="G467" t="str">
            <v>Только под полную стоимость оборудования</v>
          </cell>
        </row>
        <row r="468">
          <cell r="A468" t="str">
            <v>Байсериков Резуан Рустамович</v>
          </cell>
          <cell r="B468">
            <v>32774</v>
          </cell>
          <cell r="C468" t="str">
            <v>НЕВЫДАВАТЬ</v>
          </cell>
          <cell r="D468" t="str">
            <v>В РОЗЫСКЕ</v>
          </cell>
          <cell r="E468"/>
          <cell r="F468"/>
          <cell r="G468" t="str">
            <v>Только под полную стоимость оборудования</v>
          </cell>
        </row>
        <row r="469">
          <cell r="A469" t="str">
            <v>Байсеркеев Руслан Джумакадырович</v>
          </cell>
          <cell r="B469">
            <v>27854</v>
          </cell>
          <cell r="C469" t="str">
            <v>НЕВЫДАВАТЬ</v>
          </cell>
          <cell r="D469" t="str">
            <v>В РОЗЫСКЕ</v>
          </cell>
          <cell r="E469"/>
          <cell r="F469"/>
          <cell r="G469" t="str">
            <v>Только под полную стоимость оборудования</v>
          </cell>
        </row>
        <row r="470">
          <cell r="A470" t="str">
            <v>Байтуганов Болот Койшыбаевич</v>
          </cell>
          <cell r="B470">
            <v>23609</v>
          </cell>
          <cell r="C470" t="str">
            <v>НЕВЫДАВАТЬ</v>
          </cell>
          <cell r="D470" t="str">
            <v>В РОЗЫСКЕ</v>
          </cell>
          <cell r="E470"/>
          <cell r="F470"/>
          <cell r="G470" t="str">
            <v>Только под полную стоимость оборудования</v>
          </cell>
        </row>
        <row r="471">
          <cell r="A471" t="str">
            <v>Байхонов Шарифжан Рахимжанович</v>
          </cell>
          <cell r="B471">
            <v>29329</v>
          </cell>
          <cell r="C471" t="str">
            <v>НЕВЫДАВАТЬ</v>
          </cell>
          <cell r="D471" t="str">
            <v>В РОЗЫСКЕ</v>
          </cell>
          <cell r="E471"/>
          <cell r="F471"/>
          <cell r="G471" t="str">
            <v>Только под полную стоимость оборудования</v>
          </cell>
        </row>
        <row r="472">
          <cell r="A472" t="str">
            <v>Бакаев Замирбек Аргынбаевич</v>
          </cell>
          <cell r="B472">
            <v>27864</v>
          </cell>
          <cell r="C472" t="str">
            <v>НЕВЫДАВАТЬ</v>
          </cell>
          <cell r="D472" t="str">
            <v>В РОЗЫСКЕ</v>
          </cell>
          <cell r="E472"/>
          <cell r="F472"/>
          <cell r="G472" t="str">
            <v>Только под полную стоимость оборудования</v>
          </cell>
        </row>
        <row r="473">
          <cell r="A473" t="str">
            <v xml:space="preserve">Бакалов Тунжай </v>
          </cell>
          <cell r="B473">
            <v>26301</v>
          </cell>
          <cell r="C473" t="str">
            <v>НЕВЫДАВАТЬ</v>
          </cell>
          <cell r="D473" t="str">
            <v>В РОЗЫСКЕ</v>
          </cell>
          <cell r="E473"/>
          <cell r="F473"/>
          <cell r="G473" t="str">
            <v>Только под полную стоимость оборудования</v>
          </cell>
        </row>
        <row r="474">
          <cell r="A474" t="str">
            <v xml:space="preserve">Бакибаева Чынаркуль Кенешевна </v>
          </cell>
          <cell r="B474">
            <v>24177</v>
          </cell>
          <cell r="C474" t="str">
            <v>НЕВЫДАВАТЬ</v>
          </cell>
          <cell r="D474" t="str">
            <v>В РОЗЫСКЕ</v>
          </cell>
          <cell r="E474"/>
          <cell r="F474"/>
          <cell r="G474" t="str">
            <v>Только под полную стоимость оборудования</v>
          </cell>
        </row>
        <row r="475">
          <cell r="A475" t="str">
            <v>Бакиев Ахмат Салиевич</v>
          </cell>
          <cell r="B475">
            <v>22065</v>
          </cell>
          <cell r="C475" t="str">
            <v>НЕВЫДАВАТЬ</v>
          </cell>
          <cell r="D475" t="str">
            <v>В РОЗЫСКЕ</v>
          </cell>
          <cell r="E475"/>
          <cell r="F475"/>
          <cell r="G475" t="str">
            <v>Только под полную стоимость оборудования</v>
          </cell>
        </row>
        <row r="476">
          <cell r="A476" t="str">
            <v>Балабанов Александр Иванович</v>
          </cell>
          <cell r="B476">
            <v>24339</v>
          </cell>
          <cell r="C476" t="str">
            <v>НЕВЫДАВАТЬ</v>
          </cell>
          <cell r="D476" t="str">
            <v>В РОЗЫСКЕ</v>
          </cell>
          <cell r="E476"/>
          <cell r="F476"/>
          <cell r="G476" t="str">
            <v>Только под полную стоимость оборудования</v>
          </cell>
        </row>
        <row r="477">
          <cell r="A477" t="str">
            <v>Балахин Владимир Алексеевич</v>
          </cell>
          <cell r="B477">
            <v>22256</v>
          </cell>
          <cell r="C477" t="str">
            <v>НЕВЫДАВАТЬ</v>
          </cell>
          <cell r="D477" t="str">
            <v>В РОЗЫСКЕ</v>
          </cell>
          <cell r="E477"/>
          <cell r="F477"/>
          <cell r="G477" t="str">
            <v>Только под полную стоимость оборудования</v>
          </cell>
        </row>
        <row r="478">
          <cell r="A478" t="str">
            <v>Балтабаев Аслидин Каримжанович</v>
          </cell>
          <cell r="B478">
            <v>29307</v>
          </cell>
          <cell r="C478" t="str">
            <v>НЕВЫДАВАТЬ</v>
          </cell>
          <cell r="D478" t="str">
            <v>В РОЗЫСКЕ</v>
          </cell>
          <cell r="E478"/>
          <cell r="F478"/>
          <cell r="G478" t="str">
            <v>Только под полную стоимость оборудования</v>
          </cell>
        </row>
        <row r="479">
          <cell r="A479" t="str">
            <v>Банников Сергей Николаевич</v>
          </cell>
          <cell r="B479">
            <v>21612</v>
          </cell>
          <cell r="C479" t="str">
            <v>НЕВЫДАВАТЬ</v>
          </cell>
          <cell r="D479" t="str">
            <v>В РОЗЫСКЕ</v>
          </cell>
          <cell r="E479"/>
          <cell r="F479"/>
          <cell r="G479" t="str">
            <v>Только под полную стоимость оборудования</v>
          </cell>
        </row>
        <row r="480">
          <cell r="A480" t="str">
            <v xml:space="preserve">Банников Сергей Николаевич </v>
          </cell>
          <cell r="B480">
            <v>22244</v>
          </cell>
          <cell r="C480" t="str">
            <v>НЕВЫДАВАТЬ</v>
          </cell>
          <cell r="D480" t="str">
            <v>В РОЗЫСКЕ</v>
          </cell>
          <cell r="E480"/>
          <cell r="F480"/>
          <cell r="G480" t="str">
            <v>Только под полную стоимость оборудования</v>
          </cell>
        </row>
        <row r="481">
          <cell r="A481" t="str">
            <v>Баранюк Александр Александрович</v>
          </cell>
          <cell r="B481">
            <v>26138</v>
          </cell>
          <cell r="C481" t="str">
            <v>НЕВЫДАВАТЬ</v>
          </cell>
          <cell r="D481" t="str">
            <v>В РОЗЫСКЕ</v>
          </cell>
          <cell r="E481"/>
          <cell r="F481"/>
          <cell r="G481" t="str">
            <v>Только под полную стоимость оборудования</v>
          </cell>
        </row>
        <row r="482">
          <cell r="A482" t="str">
            <v xml:space="preserve">Басов Генадий Юрьевич </v>
          </cell>
          <cell r="B482">
            <v>20919</v>
          </cell>
          <cell r="C482" t="str">
            <v>НЕВЫДАВАТЬ</v>
          </cell>
          <cell r="D482" t="str">
            <v>В РОЗЫСКЕ</v>
          </cell>
          <cell r="E482"/>
          <cell r="F482"/>
          <cell r="G482" t="str">
            <v>Только под полную стоимость оборудования</v>
          </cell>
        </row>
        <row r="483">
          <cell r="A483" t="str">
            <v>Батыралиев Эркин Джалилович</v>
          </cell>
          <cell r="B483">
            <v>24423</v>
          </cell>
          <cell r="C483" t="str">
            <v>НЕВЫДАВАТЬ</v>
          </cell>
          <cell r="D483" t="str">
            <v>В РОЗЫСКЕ</v>
          </cell>
          <cell r="E483"/>
          <cell r="F483"/>
          <cell r="G483" t="str">
            <v>Только под полную стоимость оборудования</v>
          </cell>
        </row>
        <row r="484">
          <cell r="A484" t="str">
            <v xml:space="preserve">Батырбеков Касымжан Тургунбаевич </v>
          </cell>
          <cell r="B484">
            <v>23012</v>
          </cell>
          <cell r="C484" t="str">
            <v>НЕВЫДАВАТЬ</v>
          </cell>
          <cell r="D484" t="str">
            <v>В РОЗЫСКЕ</v>
          </cell>
          <cell r="E484"/>
          <cell r="F484"/>
          <cell r="G484" t="str">
            <v>Только под полную стоимость оборудования</v>
          </cell>
        </row>
        <row r="485">
          <cell r="A485" t="str">
            <v>Батыров Расул Турсунович</v>
          </cell>
          <cell r="B485">
            <v>27796</v>
          </cell>
          <cell r="C485" t="str">
            <v>НЕВЫДАВАТЬ</v>
          </cell>
          <cell r="D485" t="str">
            <v>В РОЗЫСКЕ</v>
          </cell>
          <cell r="E485"/>
          <cell r="F485"/>
          <cell r="G485" t="str">
            <v>Только под полную стоимость оборудования</v>
          </cell>
        </row>
        <row r="486">
          <cell r="A486" t="str">
            <v xml:space="preserve">Бахтиев Абдуллазис Абдурахидович </v>
          </cell>
          <cell r="B486">
            <v>29981</v>
          </cell>
          <cell r="C486" t="str">
            <v>НЕВЫДАВАТЬ</v>
          </cell>
          <cell r="D486" t="str">
            <v>В РОЗЫСКЕ</v>
          </cell>
          <cell r="E486"/>
          <cell r="F486"/>
          <cell r="G486" t="str">
            <v>Только под полную стоимость оборудования</v>
          </cell>
        </row>
        <row r="487">
          <cell r="A487" t="str">
            <v>Бедрикова Валентина Сергеевна</v>
          </cell>
          <cell r="B487">
            <v>18427</v>
          </cell>
          <cell r="C487" t="str">
            <v>НЕВЫДАВАТЬ</v>
          </cell>
          <cell r="D487" t="str">
            <v>В РОЗЫСКЕ</v>
          </cell>
          <cell r="E487"/>
          <cell r="F487"/>
          <cell r="G487" t="str">
            <v>Только под полную стоимость оборудования</v>
          </cell>
        </row>
        <row r="488">
          <cell r="A488" t="str">
            <v>Бекназаров Эркин Бекназарович</v>
          </cell>
          <cell r="B488">
            <v>30062</v>
          </cell>
          <cell r="C488" t="str">
            <v>НЕВЫДАВАТЬ</v>
          </cell>
          <cell r="D488" t="str">
            <v>В РОЗЫСКЕ</v>
          </cell>
          <cell r="E488"/>
          <cell r="F488"/>
          <cell r="G488" t="str">
            <v>Только под полную стоимость оборудования</v>
          </cell>
        </row>
        <row r="489">
          <cell r="A489" t="str">
            <v xml:space="preserve">Бекташ-Оглы Мамед Хасанович </v>
          </cell>
          <cell r="B489">
            <v>23469</v>
          </cell>
          <cell r="C489" t="str">
            <v>НЕВЫДАВАТЬ</v>
          </cell>
          <cell r="D489" t="str">
            <v>В РОЗЫСКЕ</v>
          </cell>
          <cell r="E489"/>
          <cell r="F489"/>
          <cell r="G489" t="str">
            <v>Только под полную стоимость оборудования</v>
          </cell>
        </row>
        <row r="490">
          <cell r="A490" t="str">
            <v>Белаков Руслан Зинаидович</v>
          </cell>
          <cell r="B490">
            <v>24524</v>
          </cell>
          <cell r="C490" t="str">
            <v>НЕВЫДАВАТЬ</v>
          </cell>
          <cell r="D490" t="str">
            <v>В РОЗЫСКЕ</v>
          </cell>
          <cell r="E490"/>
          <cell r="F490"/>
          <cell r="G490" t="str">
            <v>Только под полную стоимость оборудования</v>
          </cell>
        </row>
        <row r="491">
          <cell r="A491" t="str">
            <v>Белек уулу Болотбек</v>
          </cell>
          <cell r="B491">
            <v>33083</v>
          </cell>
          <cell r="C491" t="str">
            <v>НЕВЫДАВАТЬ</v>
          </cell>
          <cell r="D491" t="str">
            <v>В РОЗЫСКЕ</v>
          </cell>
          <cell r="E491"/>
          <cell r="F491"/>
          <cell r="G491" t="str">
            <v>Только под полную стоимость оборудования</v>
          </cell>
        </row>
        <row r="492">
          <cell r="A492" t="str">
            <v>Белеков Эрмек Белекович</v>
          </cell>
          <cell r="B492">
            <v>18488</v>
          </cell>
          <cell r="C492" t="str">
            <v>НЕВЫДАВАТЬ</v>
          </cell>
          <cell r="D492" t="str">
            <v>В РОЗЫСКЕ</v>
          </cell>
          <cell r="E492"/>
          <cell r="F492"/>
          <cell r="G492" t="str">
            <v>Только под полную стоимость оборудования</v>
          </cell>
        </row>
        <row r="493">
          <cell r="A493" t="str">
            <v>Белобородов Анатолий Алесандрович</v>
          </cell>
          <cell r="B493">
            <v>20152</v>
          </cell>
          <cell r="C493" t="str">
            <v>НЕВЫДАВАТЬ</v>
          </cell>
          <cell r="D493" t="str">
            <v>В РОЗЫСКЕ</v>
          </cell>
          <cell r="E493"/>
          <cell r="F493"/>
          <cell r="G493" t="str">
            <v>Только под полную стоимость оборудования</v>
          </cell>
        </row>
        <row r="494">
          <cell r="A494" t="str">
            <v>Белых Виктор Владимирович</v>
          </cell>
          <cell r="B494">
            <v>17340</v>
          </cell>
          <cell r="C494" t="str">
            <v>НЕВЫДАВАТЬ</v>
          </cell>
          <cell r="D494" t="str">
            <v>В РОЗЫСКЕ</v>
          </cell>
          <cell r="E494"/>
          <cell r="F494"/>
          <cell r="G494" t="str">
            <v>Только под полную стоимость оборудования</v>
          </cell>
        </row>
        <row r="495">
          <cell r="A495" t="str">
            <v>Белых Виталий Юрьевич</v>
          </cell>
          <cell r="B495">
            <v>28142</v>
          </cell>
          <cell r="C495" t="str">
            <v>НЕВЫДАВАТЬ</v>
          </cell>
          <cell r="D495" t="str">
            <v>В РОЗЫСКЕ</v>
          </cell>
          <cell r="E495"/>
          <cell r="F495"/>
          <cell r="G495" t="str">
            <v>Только под полную стоимость оборудования</v>
          </cell>
        </row>
        <row r="496">
          <cell r="A496" t="str">
            <v xml:space="preserve">Беляев Иван Николаевич </v>
          </cell>
          <cell r="B496">
            <v>19682</v>
          </cell>
          <cell r="C496" t="str">
            <v>НЕВЫДАВАТЬ</v>
          </cell>
          <cell r="D496" t="str">
            <v>В РОЗЫСКЕ</v>
          </cell>
          <cell r="E496"/>
          <cell r="F496"/>
          <cell r="G496" t="str">
            <v>Только под полную стоимость оборудования</v>
          </cell>
        </row>
        <row r="497">
          <cell r="A497" t="str">
            <v>Бердалиева Фарида Сагынбековна</v>
          </cell>
          <cell r="B497">
            <v>27991</v>
          </cell>
          <cell r="C497" t="str">
            <v>НЕВЫДАВАТЬ</v>
          </cell>
          <cell r="D497" t="str">
            <v>В РОЗЫСКЕ</v>
          </cell>
          <cell r="E497"/>
          <cell r="F497"/>
          <cell r="G497" t="str">
            <v>Только под полную стоимость оборудования</v>
          </cell>
        </row>
        <row r="498">
          <cell r="A498" t="str">
            <v>Бердибаев Суюнбек Бердибаевич</v>
          </cell>
          <cell r="B498">
            <v>26666</v>
          </cell>
          <cell r="C498" t="str">
            <v>НЕВЫДАВАТЬ</v>
          </cell>
          <cell r="D498" t="str">
            <v>В РОЗЫСКЕ</v>
          </cell>
          <cell r="E498"/>
          <cell r="F498"/>
          <cell r="G498" t="str">
            <v>Только под полную стоимость оборудования</v>
          </cell>
        </row>
        <row r="499">
          <cell r="A499" t="str">
            <v>Бердикулов Омурбек Темирзакович</v>
          </cell>
          <cell r="B499">
            <v>25936</v>
          </cell>
          <cell r="C499" t="str">
            <v>НЕВЫДАВАТЬ</v>
          </cell>
          <cell r="D499" t="str">
            <v>В РОЗЫСКЕ</v>
          </cell>
          <cell r="E499"/>
          <cell r="F499"/>
          <cell r="G499" t="str">
            <v>Только под полную стоимость оборудования</v>
          </cell>
        </row>
        <row r="500">
          <cell r="A500" t="str">
            <v>Берестина Галина Федоровна</v>
          </cell>
          <cell r="B500">
            <v>17041</v>
          </cell>
          <cell r="C500" t="str">
            <v>НЕВЫДАВАТЬ</v>
          </cell>
          <cell r="D500" t="str">
            <v>В РОЗЫСКЕ</v>
          </cell>
          <cell r="E500"/>
          <cell r="F500"/>
          <cell r="G500" t="str">
            <v>Только под полную стоимость оборудования</v>
          </cell>
        </row>
        <row r="501">
          <cell r="A501" t="str">
            <v>Берестов Роман Анатольевич</v>
          </cell>
          <cell r="B501">
            <v>33780</v>
          </cell>
          <cell r="C501" t="str">
            <v>НЕВЫДАВАТЬ</v>
          </cell>
          <cell r="D501" t="str">
            <v>В РОЗЫСКЕ</v>
          </cell>
          <cell r="E501"/>
          <cell r="F501"/>
          <cell r="G501" t="str">
            <v>Только под полную стоимость оборудования</v>
          </cell>
        </row>
        <row r="502">
          <cell r="A502" t="str">
            <v>Берестов Сергей Павлович</v>
          </cell>
          <cell r="B502">
            <v>19701</v>
          </cell>
          <cell r="C502" t="str">
            <v>НЕВЫДАВАТЬ</v>
          </cell>
          <cell r="D502" t="str">
            <v>В РОЗЫСКЕ</v>
          </cell>
          <cell r="E502"/>
          <cell r="F502"/>
          <cell r="G502" t="str">
            <v>Только под полную стоимость оборудования</v>
          </cell>
        </row>
        <row r="503">
          <cell r="A503" t="str">
            <v>Билалов Аюбхан Нодирович</v>
          </cell>
          <cell r="B503">
            <v>27252</v>
          </cell>
          <cell r="C503" t="str">
            <v>НЕВЫДАВАТЬ</v>
          </cell>
          <cell r="D503" t="str">
            <v>В РОЗЫСКЕ</v>
          </cell>
          <cell r="E503"/>
          <cell r="F503"/>
          <cell r="G503" t="str">
            <v>Только под полную стоимость оборудования</v>
          </cell>
        </row>
        <row r="504">
          <cell r="A504" t="str">
            <v>Биналиев Сабир Гулалиевич</v>
          </cell>
          <cell r="B504">
            <v>23511</v>
          </cell>
          <cell r="C504" t="str">
            <v>НЕВЫДАВАТЬ</v>
          </cell>
          <cell r="D504" t="str">
            <v>В РОЗЫСКЕ</v>
          </cell>
          <cell r="E504"/>
          <cell r="F504"/>
          <cell r="G504" t="str">
            <v>Только под полную стоимость оборудования</v>
          </cell>
        </row>
        <row r="505">
          <cell r="A505" t="str">
            <v>Бисеров Дмитрий Викторович</v>
          </cell>
          <cell r="B505">
            <v>19989</v>
          </cell>
          <cell r="C505" t="str">
            <v>НЕВЫДАВАТЬ</v>
          </cell>
          <cell r="D505" t="str">
            <v>В РОЗЫСКЕ</v>
          </cell>
          <cell r="E505"/>
          <cell r="F505"/>
          <cell r="G505" t="str">
            <v>Только под полную стоимость оборудования</v>
          </cell>
        </row>
        <row r="506">
          <cell r="A506" t="str">
            <v>Бобалиев Мирали Абдуллаевич</v>
          </cell>
          <cell r="B506">
            <v>19452</v>
          </cell>
          <cell r="C506" t="str">
            <v>НЕВЫДАВАТЬ</v>
          </cell>
          <cell r="D506" t="str">
            <v>В РОЗЫСКЕ</v>
          </cell>
          <cell r="E506"/>
          <cell r="F506"/>
          <cell r="G506" t="str">
            <v>Только под полную стоимость оборудования</v>
          </cell>
        </row>
        <row r="507">
          <cell r="A507" t="str">
            <v>Богданов Роман Степанович</v>
          </cell>
          <cell r="B507">
            <v>25904</v>
          </cell>
          <cell r="C507" t="str">
            <v>НЕВЫДАВАТЬ</v>
          </cell>
          <cell r="D507" t="str">
            <v>В РОЗЫСКЕ</v>
          </cell>
          <cell r="E507"/>
          <cell r="F507"/>
          <cell r="G507" t="str">
            <v>Только под полную стоимость оборудования</v>
          </cell>
        </row>
        <row r="508">
          <cell r="A508" t="str">
            <v>Богославский Владимир Александрович</v>
          </cell>
          <cell r="B508">
            <v>33613</v>
          </cell>
          <cell r="C508" t="str">
            <v>НЕВЫДАВАТЬ</v>
          </cell>
          <cell r="D508" t="str">
            <v>В РОЗЫСКЕ</v>
          </cell>
          <cell r="E508"/>
          <cell r="F508"/>
          <cell r="G508" t="str">
            <v>Только под полную стоимость оборудования</v>
          </cell>
        </row>
        <row r="509">
          <cell r="A509" t="str">
            <v xml:space="preserve">Болдырев Вячеслав </v>
          </cell>
          <cell r="B509">
            <v>24120</v>
          </cell>
          <cell r="C509" t="str">
            <v>НЕВЫДАВАТЬ</v>
          </cell>
          <cell r="D509" t="str">
            <v>В РОЗЫСКЕ</v>
          </cell>
          <cell r="E509"/>
          <cell r="F509"/>
          <cell r="G509" t="str">
            <v>Только под полную стоимость оборудования</v>
          </cell>
        </row>
        <row r="510">
          <cell r="A510" t="str">
            <v>Бондарев Юрий Николаевич</v>
          </cell>
          <cell r="B510">
            <v>30389</v>
          </cell>
          <cell r="C510" t="str">
            <v>НЕВЫДАВАТЬ</v>
          </cell>
          <cell r="D510" t="str">
            <v>В РОЗЫСКЕ</v>
          </cell>
          <cell r="E510"/>
          <cell r="F510"/>
          <cell r="G510" t="str">
            <v>Только под полную стоимость оборудования</v>
          </cell>
        </row>
        <row r="511">
          <cell r="A511" t="str">
            <v>Борубаев Аскат Орозалиевич</v>
          </cell>
          <cell r="B511">
            <v>28639</v>
          </cell>
          <cell r="C511" t="str">
            <v>НЕВЫДАВАТЬ</v>
          </cell>
          <cell r="D511" t="str">
            <v>В РОЗЫСКЕ</v>
          </cell>
          <cell r="E511"/>
          <cell r="F511"/>
          <cell r="G511" t="str">
            <v>Только под полную стоимость оборудования</v>
          </cell>
        </row>
        <row r="512">
          <cell r="A512" t="str">
            <v xml:space="preserve">Бостонбаев Зарылбек Карыпбаевич </v>
          </cell>
          <cell r="B512">
            <v>21993</v>
          </cell>
          <cell r="C512" t="str">
            <v>НЕВЫДАВАТЬ</v>
          </cell>
          <cell r="D512" t="str">
            <v>В РОЗЫСКЕ</v>
          </cell>
          <cell r="E512"/>
          <cell r="F512"/>
          <cell r="G512" t="str">
            <v>Только под полную стоимость оборудования</v>
          </cell>
        </row>
        <row r="513">
          <cell r="A513" t="str">
            <v>Ботбаев Жолдошбек Бейшеналиевич</v>
          </cell>
          <cell r="B513">
            <v>21682</v>
          </cell>
          <cell r="C513" t="str">
            <v>НЕВЫДАВАТЬ</v>
          </cell>
          <cell r="D513" t="str">
            <v>В РОЗЫСКЕ</v>
          </cell>
          <cell r="E513"/>
          <cell r="F513"/>
          <cell r="G513" t="str">
            <v>Только под полную стоимость оборудования</v>
          </cell>
        </row>
        <row r="514">
          <cell r="A514" t="str">
            <v>Бошкулов Таалайбек Окенович</v>
          </cell>
          <cell r="B514">
            <v>25333</v>
          </cell>
          <cell r="C514" t="str">
            <v>НЕВЫДАВАТЬ</v>
          </cell>
          <cell r="D514" t="str">
            <v>В РОЗЫСКЕ</v>
          </cell>
          <cell r="E514"/>
          <cell r="F514"/>
          <cell r="G514" t="str">
            <v>Только под полную стоимость оборудования</v>
          </cell>
        </row>
        <row r="515">
          <cell r="A515" t="str">
            <v>Бражников Владимир Михайлович</v>
          </cell>
          <cell r="B515">
            <v>27084</v>
          </cell>
          <cell r="C515" t="str">
            <v>НЕВЫДАВАТЬ</v>
          </cell>
          <cell r="D515" t="str">
            <v>В РОЗЫСКЕ</v>
          </cell>
          <cell r="E515"/>
          <cell r="F515"/>
          <cell r="G515" t="str">
            <v>Только под полную стоимость оборудования</v>
          </cell>
        </row>
        <row r="516">
          <cell r="A516" t="str">
            <v>Брезгин Сергей Иванович</v>
          </cell>
          <cell r="B516">
            <v>21045</v>
          </cell>
          <cell r="C516" t="str">
            <v>НЕВЫДАВАТЬ</v>
          </cell>
          <cell r="D516" t="str">
            <v>В РОЗЫСКЕ</v>
          </cell>
          <cell r="E516"/>
          <cell r="F516"/>
          <cell r="G516" t="str">
            <v>Только под полную стоимость оборудования</v>
          </cell>
        </row>
        <row r="517">
          <cell r="A517" t="str">
            <v>Бувамирзаев Иброхим Олимжон углы</v>
          </cell>
          <cell r="B517">
            <v>35491</v>
          </cell>
          <cell r="C517" t="str">
            <v>НЕВЫДАВАТЬ</v>
          </cell>
          <cell r="D517" t="str">
            <v>В РОЗЫСКЕ</v>
          </cell>
          <cell r="E517"/>
          <cell r="F517"/>
          <cell r="G517" t="str">
            <v>Только под полную стоимость оборудования</v>
          </cell>
        </row>
        <row r="518">
          <cell r="A518" t="str">
            <v>Бугленко Геннадий Петрович</v>
          </cell>
          <cell r="B518">
            <v>20007</v>
          </cell>
          <cell r="C518" t="str">
            <v>НЕВЫДАВАТЬ</v>
          </cell>
          <cell r="D518" t="str">
            <v>В РОЗЫСКЕ</v>
          </cell>
          <cell r="E518"/>
          <cell r="F518"/>
          <cell r="G518" t="str">
            <v>Только под полную стоимость оборудования</v>
          </cell>
        </row>
        <row r="519">
          <cell r="A519" t="str">
            <v>Бугубаев Таалай Алимжанович</v>
          </cell>
          <cell r="B519">
            <v>24915</v>
          </cell>
          <cell r="C519" t="str">
            <v>НЕВЫДАВАТЬ</v>
          </cell>
          <cell r="D519" t="str">
            <v>В РОЗЫСКЕ</v>
          </cell>
          <cell r="E519"/>
          <cell r="F519"/>
          <cell r="G519" t="str">
            <v>Только под полную стоимость оборудования</v>
          </cell>
        </row>
        <row r="520">
          <cell r="A520" t="str">
            <v>Буделев Иван Семенович</v>
          </cell>
          <cell r="B520">
            <v>12844</v>
          </cell>
          <cell r="C520" t="str">
            <v>НЕВЫДАВАТЬ</v>
          </cell>
          <cell r="D520" t="str">
            <v>В РОЗЫСКЕ</v>
          </cell>
          <cell r="E520"/>
          <cell r="F520"/>
          <cell r="G520" t="str">
            <v>Только под полную стоимость оборудования</v>
          </cell>
        </row>
        <row r="521">
          <cell r="A521" t="str">
            <v>Букин Вячеслав Николаевич</v>
          </cell>
          <cell r="B521">
            <v>24941</v>
          </cell>
          <cell r="C521" t="str">
            <v>НЕВЫДАВАТЬ</v>
          </cell>
          <cell r="D521" t="str">
            <v>В РОЗЫСКЕ</v>
          </cell>
          <cell r="E521"/>
          <cell r="F521"/>
          <cell r="G521" t="str">
            <v>Только под полную стоимость оборудования</v>
          </cell>
        </row>
        <row r="522">
          <cell r="A522" t="str">
            <v>Букин Николай Александрович</v>
          </cell>
          <cell r="B522">
            <v>23063</v>
          </cell>
          <cell r="C522" t="str">
            <v>НЕВЫДАВАТЬ</v>
          </cell>
          <cell r="D522" t="str">
            <v>В РОЗЫСКЕ</v>
          </cell>
          <cell r="E522"/>
          <cell r="F522"/>
          <cell r="G522" t="str">
            <v>Только под полную стоимость оборудования</v>
          </cell>
        </row>
        <row r="523">
          <cell r="A523" t="str">
            <v>Булавин Евгений Анатольевич</v>
          </cell>
          <cell r="B523">
            <v>27768</v>
          </cell>
          <cell r="C523" t="str">
            <v>НЕВЫДАВАТЬ</v>
          </cell>
          <cell r="D523" t="str">
            <v>В РОЗЫСКЕ</v>
          </cell>
          <cell r="E523"/>
          <cell r="F523"/>
          <cell r="G523" t="str">
            <v>Только под полную стоимость оборудования</v>
          </cell>
        </row>
        <row r="524">
          <cell r="A524" t="str">
            <v>Булашов Дмитрий Анатольевич</v>
          </cell>
          <cell r="B524">
            <v>26825</v>
          </cell>
          <cell r="C524" t="str">
            <v>НЕВЫДАВАТЬ</v>
          </cell>
          <cell r="D524" t="str">
            <v>В РОЗЫСКЕ</v>
          </cell>
          <cell r="E524"/>
          <cell r="F524"/>
          <cell r="G524" t="str">
            <v>Только под полную стоимость оборудования</v>
          </cell>
        </row>
        <row r="525">
          <cell r="A525" t="str">
            <v>Буренин Сергей Владимирович</v>
          </cell>
          <cell r="B525">
            <v>34914</v>
          </cell>
          <cell r="C525" t="str">
            <v>НЕВЫДАВАТЬ</v>
          </cell>
          <cell r="D525" t="str">
            <v>В РОЗЫСКЕ</v>
          </cell>
          <cell r="E525"/>
          <cell r="F525"/>
          <cell r="G525" t="str">
            <v>Только под полную стоимость оборудования</v>
          </cell>
        </row>
        <row r="526">
          <cell r="A526" t="str">
            <v>Буриев Акаржон Бахтиерович</v>
          </cell>
          <cell r="B526">
            <v>30735</v>
          </cell>
          <cell r="C526" t="str">
            <v>НЕВЫДАВАТЬ</v>
          </cell>
          <cell r="D526" t="str">
            <v>В РОЗЫСКЕ</v>
          </cell>
          <cell r="E526"/>
          <cell r="F526"/>
          <cell r="G526" t="str">
            <v>Только под полную стоимость оборудования</v>
          </cell>
        </row>
        <row r="527">
          <cell r="A527" t="str">
            <v>Бурлак Вячеслав Георгиевич</v>
          </cell>
          <cell r="B527">
            <v>21739</v>
          </cell>
          <cell r="C527" t="str">
            <v>НЕВЫДАВАТЬ</v>
          </cell>
          <cell r="D527" t="str">
            <v>В РОЗЫСКЕ</v>
          </cell>
          <cell r="E527"/>
          <cell r="F527"/>
          <cell r="G527" t="str">
            <v>Только под полную стоимость оборудования</v>
          </cell>
        </row>
        <row r="528">
          <cell r="A528" t="str">
            <v xml:space="preserve">Бурнашов Ролан Игтимаевич </v>
          </cell>
          <cell r="B528">
            <v>26621</v>
          </cell>
          <cell r="C528" t="str">
            <v>НЕВЫДАВАТЬ</v>
          </cell>
          <cell r="D528" t="str">
            <v>В РОЗЫСКЕ</v>
          </cell>
          <cell r="E528"/>
          <cell r="F528"/>
          <cell r="G528" t="str">
            <v>Только под полную стоимость оборудования</v>
          </cell>
        </row>
        <row r="529">
          <cell r="A529" t="str">
            <v>Буянов Петр Андреевич</v>
          </cell>
          <cell r="B529">
            <v>18015</v>
          </cell>
          <cell r="C529" t="str">
            <v>НЕВЫДАВАТЬ</v>
          </cell>
          <cell r="D529" t="str">
            <v>В РОЗЫСКЕ</v>
          </cell>
          <cell r="E529"/>
          <cell r="F529"/>
          <cell r="G529" t="str">
            <v>Только под полную стоимость оборудования</v>
          </cell>
        </row>
        <row r="530">
          <cell r="A530" t="str">
            <v>Валиев Еркин Низам оглу</v>
          </cell>
          <cell r="B530">
            <v>34106</v>
          </cell>
          <cell r="C530" t="str">
            <v>НЕВЫДАВАТЬ</v>
          </cell>
          <cell r="D530" t="str">
            <v>В РОЗЫСКЕ</v>
          </cell>
          <cell r="E530"/>
          <cell r="F530"/>
          <cell r="G530" t="str">
            <v>Только под полную стоимость оборудования</v>
          </cell>
        </row>
        <row r="531">
          <cell r="A531" t="str">
            <v>Валитов Шарифулла Гарифуллаевич</v>
          </cell>
          <cell r="B531">
            <v>18908</v>
          </cell>
          <cell r="C531" t="str">
            <v>НЕВЫДАВАТЬ</v>
          </cell>
          <cell r="D531" t="str">
            <v>В РОЗЫСКЕ</v>
          </cell>
          <cell r="E531"/>
          <cell r="F531"/>
          <cell r="G531" t="str">
            <v>Только под полную стоимость оборудования</v>
          </cell>
        </row>
        <row r="532">
          <cell r="A532" t="str">
            <v xml:space="preserve">Валиулин Вадим Викторович </v>
          </cell>
          <cell r="B532">
            <v>26063</v>
          </cell>
          <cell r="C532" t="str">
            <v>НЕВЫДАВАТЬ</v>
          </cell>
          <cell r="D532" t="str">
            <v>В РОЗЫСКЕ</v>
          </cell>
          <cell r="E532"/>
          <cell r="F532"/>
          <cell r="G532" t="str">
            <v>Только под полную стоимость оборудования</v>
          </cell>
        </row>
        <row r="533">
          <cell r="A533" t="str">
            <v>Валиулин Салим Галимович</v>
          </cell>
          <cell r="B533">
            <v>18233</v>
          </cell>
          <cell r="C533" t="str">
            <v>НЕВЫДАВАТЬ</v>
          </cell>
          <cell r="D533" t="str">
            <v>В РОЗЫСКЕ</v>
          </cell>
          <cell r="E533"/>
          <cell r="F533"/>
          <cell r="G533" t="str">
            <v>Только под полную стоимость оборудования</v>
          </cell>
        </row>
        <row r="534">
          <cell r="A534" t="str">
            <v xml:space="preserve">Ван Гуан Сю </v>
          </cell>
          <cell r="B534">
            <v>23272</v>
          </cell>
          <cell r="C534" t="str">
            <v>НЕВЫДАВАТЬ</v>
          </cell>
          <cell r="D534" t="str">
            <v>В РОЗЫСКЕ</v>
          </cell>
          <cell r="E534"/>
          <cell r="F534"/>
          <cell r="G534" t="str">
            <v>Только под полную стоимость оборудования</v>
          </cell>
        </row>
        <row r="535">
          <cell r="A535" t="str">
            <v>Варавин Владимир Павлович</v>
          </cell>
          <cell r="B535">
            <v>21791</v>
          </cell>
          <cell r="C535" t="str">
            <v>НЕВЫДАВАТЬ</v>
          </cell>
          <cell r="D535" t="str">
            <v>В РОЗЫСКЕ</v>
          </cell>
          <cell r="E535"/>
          <cell r="F535"/>
          <cell r="G535" t="str">
            <v>Только под полную стоимость оборудования</v>
          </cell>
        </row>
        <row r="536">
          <cell r="A536" t="str">
            <v>Василенко Виктор Ильич</v>
          </cell>
          <cell r="B536">
            <v>23461</v>
          </cell>
          <cell r="C536" t="str">
            <v>НЕВЫДАВАТЬ</v>
          </cell>
          <cell r="D536" t="str">
            <v>В РОЗЫСКЕ</v>
          </cell>
          <cell r="E536"/>
          <cell r="F536"/>
          <cell r="G536" t="str">
            <v>Только под полную стоимость оборудования</v>
          </cell>
        </row>
        <row r="537">
          <cell r="A537" t="str">
            <v>Васильев Алексей Федорович</v>
          </cell>
          <cell r="B537">
            <v>16405</v>
          </cell>
          <cell r="C537" t="str">
            <v>НЕВЫДАВАТЬ</v>
          </cell>
          <cell r="D537" t="str">
            <v>В РОЗЫСКЕ</v>
          </cell>
          <cell r="E537"/>
          <cell r="F537"/>
          <cell r="G537" t="str">
            <v>Только под полную стоимость оборудования</v>
          </cell>
        </row>
        <row r="538">
          <cell r="A538" t="str">
            <v>Васильев Игорь Юрьевич</v>
          </cell>
          <cell r="B538">
            <v>22138</v>
          </cell>
          <cell r="C538" t="str">
            <v>НЕВЫДАВАТЬ</v>
          </cell>
          <cell r="D538" t="str">
            <v>В РОЗЫСКЕ</v>
          </cell>
          <cell r="E538"/>
          <cell r="F538"/>
          <cell r="G538" t="str">
            <v>Только под полную стоимость оборудования</v>
          </cell>
        </row>
        <row r="539">
          <cell r="A539" t="str">
            <v>Васин Владимир Михайлович</v>
          </cell>
          <cell r="B539">
            <v>23712</v>
          </cell>
          <cell r="C539" t="str">
            <v>НЕВЫДАВАТЬ</v>
          </cell>
          <cell r="D539" t="str">
            <v>В РОЗЫСКЕ</v>
          </cell>
          <cell r="E539"/>
          <cell r="F539"/>
          <cell r="G539" t="str">
            <v>Только под полную стоимость оборудования</v>
          </cell>
        </row>
        <row r="540">
          <cell r="A540" t="str">
            <v>Величко Константин Вячеславович</v>
          </cell>
          <cell r="B540">
            <v>28969</v>
          </cell>
          <cell r="C540" t="str">
            <v>НЕВЫДАВАТЬ</v>
          </cell>
          <cell r="D540" t="str">
            <v>В РОЗЫСКЕ</v>
          </cell>
          <cell r="E540"/>
          <cell r="F540"/>
          <cell r="G540" t="str">
            <v>Только под полную стоимость оборудования</v>
          </cell>
        </row>
        <row r="541">
          <cell r="A541" t="str">
            <v>Венглинский Евгений Владимирович</v>
          </cell>
          <cell r="B541">
            <v>23415</v>
          </cell>
          <cell r="C541" t="str">
            <v>НЕВЫДАВАТЬ</v>
          </cell>
          <cell r="D541" t="str">
            <v>В РОЗЫСКЕ</v>
          </cell>
          <cell r="E541"/>
          <cell r="F541"/>
          <cell r="G541" t="str">
            <v>Только под полную стоимость оборудования</v>
          </cell>
        </row>
        <row r="542">
          <cell r="A542" t="str">
            <v>Вихляев Виктор Иванович</v>
          </cell>
          <cell r="B542">
            <v>24983</v>
          </cell>
          <cell r="C542" t="str">
            <v>НЕВЫДАВАТЬ</v>
          </cell>
          <cell r="D542" t="str">
            <v>В РОЗЫСКЕ</v>
          </cell>
          <cell r="E542"/>
          <cell r="F542"/>
          <cell r="G542" t="str">
            <v>Только под полную стоимость оборудования</v>
          </cell>
        </row>
        <row r="543">
          <cell r="A543" t="str">
            <v>Власов Василий Валерьевич</v>
          </cell>
          <cell r="B543">
            <v>27991</v>
          </cell>
          <cell r="C543" t="str">
            <v>НЕВЫДАВАТЬ</v>
          </cell>
          <cell r="D543" t="str">
            <v>В РОЗЫСКЕ</v>
          </cell>
          <cell r="E543"/>
          <cell r="F543"/>
          <cell r="G543" t="str">
            <v>Только под полную стоимость оборудования</v>
          </cell>
        </row>
        <row r="544">
          <cell r="A544" t="str">
            <v xml:space="preserve">Власов Максим Евгеньевич </v>
          </cell>
          <cell r="B544">
            <v>24782</v>
          </cell>
          <cell r="C544" t="str">
            <v>НЕВЫДАВАТЬ</v>
          </cell>
          <cell r="D544" t="str">
            <v>В РОЗЫСКЕ</v>
          </cell>
          <cell r="E544"/>
          <cell r="F544"/>
          <cell r="G544" t="str">
            <v>Только под полную стоимость оборудования</v>
          </cell>
        </row>
        <row r="545">
          <cell r="A545" t="str">
            <v xml:space="preserve">Волков Игорь Анатольевич </v>
          </cell>
          <cell r="B545">
            <v>29155</v>
          </cell>
          <cell r="C545" t="str">
            <v>НЕВЫДАВАТЬ</v>
          </cell>
          <cell r="D545" t="str">
            <v>В РОЗЫСКЕ</v>
          </cell>
          <cell r="E545"/>
          <cell r="F545"/>
          <cell r="G545" t="str">
            <v>Только под полную стоимость оборудования</v>
          </cell>
        </row>
        <row r="546">
          <cell r="A546" t="str">
            <v xml:space="preserve">Воловенко Василий Петрович </v>
          </cell>
          <cell r="B546">
            <v>22786</v>
          </cell>
          <cell r="C546" t="str">
            <v>НЕВЫДАВАТЬ</v>
          </cell>
          <cell r="D546" t="str">
            <v>В РОЗЫСКЕ</v>
          </cell>
          <cell r="E546"/>
          <cell r="F546"/>
          <cell r="G546" t="str">
            <v>Только под полную стоимость оборудования</v>
          </cell>
        </row>
        <row r="547">
          <cell r="A547" t="str">
            <v>Волоидзе Ясин Каримович</v>
          </cell>
          <cell r="B547">
            <v>29744</v>
          </cell>
          <cell r="C547" t="str">
            <v>НЕВЫДАВАТЬ</v>
          </cell>
          <cell r="D547" t="str">
            <v>В РОЗЫСКЕ</v>
          </cell>
          <cell r="E547"/>
          <cell r="F547"/>
          <cell r="G547" t="str">
            <v>Только под полную стоимость оборудования</v>
          </cell>
        </row>
        <row r="548">
          <cell r="A548" t="str">
            <v>Воронин Игорь Анатольевич</v>
          </cell>
          <cell r="B548">
            <v>34562</v>
          </cell>
          <cell r="C548" t="str">
            <v>НЕВЫДАВАТЬ</v>
          </cell>
          <cell r="D548" t="str">
            <v>В РОЗЫСКЕ</v>
          </cell>
          <cell r="E548"/>
          <cell r="F548"/>
          <cell r="G548" t="str">
            <v>Только под полную стоимость оборудования</v>
          </cell>
        </row>
        <row r="549">
          <cell r="A549" t="str">
            <v>Вульф Валерий Викторович</v>
          </cell>
          <cell r="B549">
            <v>19899</v>
          </cell>
          <cell r="C549" t="str">
            <v>НЕВЫДАВАТЬ</v>
          </cell>
          <cell r="D549" t="str">
            <v>В РОЗЫСКЕ</v>
          </cell>
          <cell r="E549"/>
          <cell r="F549"/>
          <cell r="G549" t="str">
            <v>Только под полную стоимость оборудования</v>
          </cell>
        </row>
        <row r="550">
          <cell r="A550" t="str">
            <v xml:space="preserve">Выдра Виктор Леонтьевич </v>
          </cell>
          <cell r="B550">
            <v>20199</v>
          </cell>
          <cell r="C550" t="str">
            <v>НЕВЫДАВАТЬ</v>
          </cell>
          <cell r="D550" t="str">
            <v>В РОЗЫСКЕ</v>
          </cell>
          <cell r="E550"/>
          <cell r="F550"/>
          <cell r="G550" t="str">
            <v>Только под полную стоимость оборудования</v>
          </cell>
        </row>
        <row r="551">
          <cell r="A551" t="str">
            <v>Газиев Рустамбек Салайдинович</v>
          </cell>
          <cell r="B551">
            <v>24675</v>
          </cell>
          <cell r="C551" t="str">
            <v>НЕВЫДАВАТЬ</v>
          </cell>
          <cell r="D551" t="str">
            <v>В РОЗЫСКЕ</v>
          </cell>
          <cell r="E551"/>
          <cell r="F551"/>
          <cell r="G551" t="str">
            <v>Только под полную стоимость оборудования</v>
          </cell>
        </row>
        <row r="552">
          <cell r="A552" t="str">
            <v>Гаиббаев Улугбек Исманжонович</v>
          </cell>
          <cell r="B552">
            <v>29013</v>
          </cell>
          <cell r="C552" t="str">
            <v>НЕВЫДАВАТЬ</v>
          </cell>
          <cell r="D552" t="str">
            <v>В РОЗЫСКЕ</v>
          </cell>
          <cell r="E552"/>
          <cell r="F552"/>
          <cell r="G552" t="str">
            <v>Только под полную стоимость оборудования</v>
          </cell>
        </row>
        <row r="553">
          <cell r="A553" t="str">
            <v>Гайназаров Лутфулло Махамеджанович</v>
          </cell>
          <cell r="B553">
            <v>27769</v>
          </cell>
          <cell r="C553" t="str">
            <v>НЕВЫДАВАТЬ</v>
          </cell>
          <cell r="D553" t="str">
            <v>В РОЗЫСКЕ</v>
          </cell>
          <cell r="E553"/>
          <cell r="F553"/>
          <cell r="G553" t="str">
            <v>Только под полную стоимость оборудования</v>
          </cell>
        </row>
        <row r="554">
          <cell r="A554" t="str">
            <v>Гайфулин Рамиль Фатихович</v>
          </cell>
          <cell r="B554">
            <v>28972</v>
          </cell>
          <cell r="C554" t="str">
            <v>НЕВЫДАВАТЬ</v>
          </cell>
          <cell r="D554" t="str">
            <v>В РОЗЫСКЕ</v>
          </cell>
          <cell r="E554"/>
          <cell r="F554"/>
          <cell r="G554" t="str">
            <v>Только под полную стоимость оборудования</v>
          </cell>
        </row>
        <row r="555">
          <cell r="A555" t="str">
            <v>Галимбаев Иршад Газизович</v>
          </cell>
          <cell r="B555">
            <v>16694</v>
          </cell>
          <cell r="C555" t="str">
            <v>НЕВЫДАВАТЬ</v>
          </cell>
          <cell r="D555" t="str">
            <v>В РОЗЫСКЕ</v>
          </cell>
          <cell r="E555"/>
          <cell r="F555"/>
          <cell r="G555" t="str">
            <v>Только под полную стоимость оборудования</v>
          </cell>
        </row>
        <row r="556">
          <cell r="A556" t="str">
            <v>Гамзиков Николай Дмитрович</v>
          </cell>
          <cell r="B556">
            <v>21475</v>
          </cell>
          <cell r="C556" t="str">
            <v>НЕВЫДАВАТЬ</v>
          </cell>
          <cell r="D556" t="str">
            <v>В РОЗЫСКЕ</v>
          </cell>
          <cell r="E556"/>
          <cell r="F556"/>
          <cell r="G556" t="str">
            <v>Только под полную стоимость оборудования</v>
          </cell>
        </row>
        <row r="557">
          <cell r="A557" t="str">
            <v>Гардеев Эдуард Валерьевич</v>
          </cell>
          <cell r="B557">
            <v>28675</v>
          </cell>
          <cell r="C557" t="str">
            <v>НЕВЫДАВАТЬ</v>
          </cell>
          <cell r="D557" t="str">
            <v>В РОЗЫСКЕ</v>
          </cell>
          <cell r="E557"/>
          <cell r="F557"/>
          <cell r="G557" t="str">
            <v>Только под полную стоимость оборудования</v>
          </cell>
        </row>
        <row r="558">
          <cell r="A558" t="str">
            <v>Гафуров Салим Алимжанович</v>
          </cell>
          <cell r="B558">
            <v>30576</v>
          </cell>
          <cell r="C558" t="str">
            <v>НЕВЫДАВАТЬ</v>
          </cell>
          <cell r="D558" t="str">
            <v>В РОЗЫСКЕ</v>
          </cell>
          <cell r="E558"/>
          <cell r="F558"/>
          <cell r="G558" t="str">
            <v>Только под полную стоимость оборудования</v>
          </cell>
        </row>
        <row r="559">
          <cell r="A559" t="str">
            <v>Герасимов Евгений Владимирович</v>
          </cell>
          <cell r="B559">
            <v>26262</v>
          </cell>
          <cell r="C559" t="str">
            <v>НЕВЫДАВАТЬ</v>
          </cell>
          <cell r="D559" t="str">
            <v>В РОЗЫСКЕ</v>
          </cell>
          <cell r="E559"/>
          <cell r="F559"/>
          <cell r="G559" t="str">
            <v>Только под полную стоимость оборудования</v>
          </cell>
        </row>
        <row r="560">
          <cell r="A560" t="str">
            <v>Герман Геннадий Викторович</v>
          </cell>
          <cell r="B560">
            <v>30127</v>
          </cell>
          <cell r="C560" t="str">
            <v>НЕВЫДАВАТЬ</v>
          </cell>
          <cell r="D560" t="str">
            <v>В РОЗЫСКЕ</v>
          </cell>
          <cell r="E560"/>
          <cell r="F560"/>
          <cell r="G560" t="str">
            <v>Только под полную стоимость оборудования</v>
          </cell>
        </row>
        <row r="561">
          <cell r="A561" t="str">
            <v>Горбанев Александр Николаевич</v>
          </cell>
          <cell r="B561">
            <v>26258</v>
          </cell>
          <cell r="C561" t="str">
            <v>НЕВЫДАВАТЬ</v>
          </cell>
          <cell r="D561" t="str">
            <v>В РОЗЫСКЕ</v>
          </cell>
          <cell r="E561"/>
          <cell r="F561"/>
          <cell r="G561" t="str">
            <v>Только под полную стоимость оборудования</v>
          </cell>
        </row>
        <row r="562">
          <cell r="A562" t="str">
            <v>Горбин Николай Максимович</v>
          </cell>
          <cell r="B562">
            <v>17952</v>
          </cell>
          <cell r="C562" t="str">
            <v>НЕВЫДАВАТЬ</v>
          </cell>
          <cell r="D562" t="str">
            <v>В РОЗЫСКЕ</v>
          </cell>
          <cell r="E562"/>
          <cell r="F562"/>
          <cell r="G562" t="str">
            <v>Только под полную стоимость оборудования</v>
          </cell>
        </row>
        <row r="563">
          <cell r="A563" t="str">
            <v>Горошников Сергей Геннадьевич</v>
          </cell>
          <cell r="B563">
            <v>31683</v>
          </cell>
          <cell r="C563" t="str">
            <v>НЕВЫДАВАТЬ</v>
          </cell>
          <cell r="D563" t="str">
            <v>В РОЗЫСКЕ</v>
          </cell>
          <cell r="E563"/>
          <cell r="F563"/>
          <cell r="G563" t="str">
            <v>Только под полную стоимость оборудования</v>
          </cell>
        </row>
        <row r="564">
          <cell r="A564" t="str">
            <v>Горшинин Юрий Сергеевич</v>
          </cell>
          <cell r="B564">
            <v>28632</v>
          </cell>
          <cell r="C564" t="str">
            <v>НЕВЫДАВАТЬ</v>
          </cell>
          <cell r="D564" t="str">
            <v>В РОЗЫСКЕ</v>
          </cell>
          <cell r="E564"/>
          <cell r="F564"/>
          <cell r="G564" t="str">
            <v>Только под полную стоимость оборудования</v>
          </cell>
        </row>
        <row r="565">
          <cell r="A565" t="str">
            <v>Гребенюк Виктор Викторович</v>
          </cell>
          <cell r="B565">
            <v>28232</v>
          </cell>
          <cell r="C565" t="str">
            <v>НЕВЫДАВАТЬ</v>
          </cell>
          <cell r="D565" t="str">
            <v>В РОЗЫСКЕ</v>
          </cell>
          <cell r="E565"/>
          <cell r="F565"/>
          <cell r="G565" t="str">
            <v>Только под полную стоимость оборудования</v>
          </cell>
        </row>
        <row r="566">
          <cell r="A566" t="str">
            <v>Грибанов Виктор Андреевич</v>
          </cell>
          <cell r="B566">
            <v>23852</v>
          </cell>
          <cell r="C566" t="str">
            <v>НЕВЫДАВАТЬ</v>
          </cell>
          <cell r="D566" t="str">
            <v>В РОЗЫСКЕ</v>
          </cell>
          <cell r="E566"/>
          <cell r="F566"/>
          <cell r="G566" t="str">
            <v>Только под полную стоимость оборудования</v>
          </cell>
        </row>
        <row r="567">
          <cell r="A567" t="str">
            <v>Григоренко Николай Васильевич</v>
          </cell>
          <cell r="B567">
            <v>22282</v>
          </cell>
          <cell r="C567" t="str">
            <v>НЕВЫДАВАТЬ</v>
          </cell>
          <cell r="D567" t="str">
            <v>В РОЗЫСКЕ</v>
          </cell>
          <cell r="E567"/>
          <cell r="F567"/>
          <cell r="G567" t="str">
            <v>Только под полную стоимость оборудования</v>
          </cell>
        </row>
        <row r="568">
          <cell r="A568" t="str">
            <v xml:space="preserve">Григорьев Александр Владимирович </v>
          </cell>
          <cell r="B568">
            <v>21247</v>
          </cell>
          <cell r="C568" t="str">
            <v>НЕВЫДАВАТЬ</v>
          </cell>
          <cell r="D568" t="str">
            <v>В РОЗЫСКЕ</v>
          </cell>
          <cell r="E568"/>
          <cell r="F568"/>
          <cell r="G568" t="str">
            <v>Только под полную стоимость оборудования</v>
          </cell>
        </row>
        <row r="569">
          <cell r="A569" t="str">
            <v>Гриценко Сергей Александрович</v>
          </cell>
          <cell r="B569">
            <v>29673</v>
          </cell>
          <cell r="C569" t="str">
            <v>НЕВЫДАВАТЬ</v>
          </cell>
          <cell r="D569" t="str">
            <v>В РОЗЫСКЕ</v>
          </cell>
          <cell r="E569"/>
          <cell r="F569"/>
          <cell r="G569" t="str">
            <v>Только под полную стоимость оборудования</v>
          </cell>
        </row>
        <row r="570">
          <cell r="A570" t="str">
            <v>Громов Виталий Николаевич</v>
          </cell>
          <cell r="B570">
            <v>26997</v>
          </cell>
          <cell r="C570" t="str">
            <v>НЕВЫДАВАТЬ</v>
          </cell>
          <cell r="D570" t="str">
            <v>В РОЗЫСКЕ</v>
          </cell>
          <cell r="E570"/>
          <cell r="F570"/>
          <cell r="G570" t="str">
            <v>Только под полную стоимость оборудования</v>
          </cell>
        </row>
        <row r="571">
          <cell r="A571" t="str">
            <v>Грошев Владимир Николаевич</v>
          </cell>
          <cell r="B571">
            <v>20794</v>
          </cell>
          <cell r="C571" t="str">
            <v>НЕВЫДАВАТЬ</v>
          </cell>
          <cell r="D571" t="str">
            <v>В РОЗЫСКЕ</v>
          </cell>
          <cell r="E571"/>
          <cell r="F571"/>
          <cell r="G571" t="str">
            <v>Только под полную стоимость оборудования</v>
          </cell>
        </row>
        <row r="572">
          <cell r="A572" t="str">
            <v>Гулаев Сергей Васильевич</v>
          </cell>
          <cell r="B572">
            <v>30088</v>
          </cell>
          <cell r="C572" t="str">
            <v>НЕВЫДАВАТЬ</v>
          </cell>
          <cell r="D572" t="str">
            <v>В РОЗЫСКЕ</v>
          </cell>
          <cell r="E572"/>
          <cell r="F572"/>
          <cell r="G572" t="str">
            <v>Только под полную стоимость оборудования</v>
          </cell>
        </row>
        <row r="573">
          <cell r="A573" t="str">
            <v>Гурин Анатолий Васильевич</v>
          </cell>
          <cell r="B573">
            <v>21432</v>
          </cell>
          <cell r="C573" t="str">
            <v>НЕВЫДАВАТЬ</v>
          </cell>
          <cell r="D573" t="str">
            <v>В РОЗЫСКЕ</v>
          </cell>
          <cell r="E573"/>
          <cell r="F573"/>
          <cell r="G573" t="str">
            <v>Только под полную стоимость оборудования</v>
          </cell>
        </row>
        <row r="574">
          <cell r="A574" t="str">
            <v>Давлетбеков Мукамбет Аблекеевич</v>
          </cell>
          <cell r="B574">
            <v>20735</v>
          </cell>
          <cell r="C574" t="str">
            <v>НЕВЫДАВАТЬ</v>
          </cell>
          <cell r="D574" t="str">
            <v>В РОЗЫСКЕ</v>
          </cell>
          <cell r="E574"/>
          <cell r="F574"/>
          <cell r="G574" t="str">
            <v>Только под полную стоимость оборудования</v>
          </cell>
        </row>
        <row r="575">
          <cell r="A575" t="str">
            <v>Давранов Самат Кубатбекович</v>
          </cell>
          <cell r="B575">
            <v>32898</v>
          </cell>
          <cell r="C575" t="str">
            <v>НЕВЫДАВАТЬ</v>
          </cell>
          <cell r="D575" t="str">
            <v>В РОЗЫСКЕ</v>
          </cell>
          <cell r="E575"/>
          <cell r="F575"/>
          <cell r="G575" t="str">
            <v>Только под полную стоимость оборудования</v>
          </cell>
        </row>
        <row r="576">
          <cell r="A576" t="str">
            <v xml:space="preserve">Даммер Эдуард Андреевич </v>
          </cell>
          <cell r="B576">
            <v>24930</v>
          </cell>
          <cell r="C576" t="str">
            <v>НЕВЫДАВАТЬ</v>
          </cell>
          <cell r="D576" t="str">
            <v>В РОЗЫСКЕ</v>
          </cell>
          <cell r="E576"/>
          <cell r="F576"/>
          <cell r="G576" t="str">
            <v>Только под полную стоимость оборудования</v>
          </cell>
        </row>
        <row r="577">
          <cell r="A577" t="str">
            <v>Данилов Анатолий Александрович</v>
          </cell>
          <cell r="B577" t="str">
            <v>15.021945</v>
          </cell>
          <cell r="C577" t="str">
            <v>НЕВЫДАВАТЬ</v>
          </cell>
          <cell r="D577" t="str">
            <v>В РОЗЫСКЕ</v>
          </cell>
          <cell r="E577"/>
          <cell r="F577"/>
          <cell r="G577" t="str">
            <v>Только под полную стоимость оборудования</v>
          </cell>
        </row>
        <row r="578">
          <cell r="A578" t="str">
            <v>Даций Анатолий Николаевич</v>
          </cell>
          <cell r="B578">
            <v>27858</v>
          </cell>
          <cell r="C578" t="str">
            <v>НЕВЫДАВАТЬ</v>
          </cell>
          <cell r="D578" t="str">
            <v>В РОЗЫСКЕ</v>
          </cell>
          <cell r="E578"/>
          <cell r="F578"/>
          <cell r="G578" t="str">
            <v>Только под полную стоимость оборудования</v>
          </cell>
        </row>
        <row r="579">
          <cell r="A579" t="str">
            <v>Дашкина Галина Валерьевна</v>
          </cell>
          <cell r="B579">
            <v>27131</v>
          </cell>
          <cell r="C579" t="str">
            <v>НЕВЫДАВАТЬ</v>
          </cell>
          <cell r="D579" t="str">
            <v>В РОЗЫСКЕ</v>
          </cell>
          <cell r="E579"/>
          <cell r="F579"/>
          <cell r="G579" t="str">
            <v>Только под полную стоимость оборудования</v>
          </cell>
        </row>
        <row r="580">
          <cell r="A580" t="str">
            <v xml:space="preserve">Де Евгений Феликсович </v>
          </cell>
          <cell r="B580">
            <v>28498</v>
          </cell>
          <cell r="C580" t="str">
            <v>НЕВЫДАВАТЬ</v>
          </cell>
          <cell r="D580" t="str">
            <v>В РОЗЫСКЕ</v>
          </cell>
          <cell r="E580"/>
          <cell r="F580"/>
          <cell r="G580" t="str">
            <v>Только под полную стоимость оборудования</v>
          </cell>
        </row>
        <row r="581">
          <cell r="A581" t="str">
            <v>Дедюхин Юрий Михайлович</v>
          </cell>
          <cell r="B581">
            <v>17816</v>
          </cell>
          <cell r="C581" t="str">
            <v>НЕВЫДАВАТЬ</v>
          </cell>
          <cell r="D581" t="str">
            <v>В РОЗЫСКЕ</v>
          </cell>
          <cell r="E581"/>
          <cell r="F581"/>
          <cell r="G581" t="str">
            <v>Только под полную стоимость оборудования</v>
          </cell>
        </row>
        <row r="582">
          <cell r="A582" t="str">
            <v>Демин Иван Николаевич</v>
          </cell>
          <cell r="B582">
            <v>23880</v>
          </cell>
          <cell r="C582" t="str">
            <v>НЕВЫДАВАТЬ</v>
          </cell>
          <cell r="D582" t="str">
            <v>В РОЗЫСКЕ</v>
          </cell>
          <cell r="E582"/>
          <cell r="F582"/>
          <cell r="G582" t="str">
            <v>Только под полную стоимость оборудования</v>
          </cell>
        </row>
        <row r="583">
          <cell r="A583" t="str">
            <v>Демитеркин Владимир Владимирович</v>
          </cell>
          <cell r="B583">
            <v>27861</v>
          </cell>
          <cell r="C583" t="str">
            <v>НЕВЫДАВАТЬ</v>
          </cell>
          <cell r="D583" t="str">
            <v>В РОЗЫСКЕ</v>
          </cell>
          <cell r="E583"/>
          <cell r="F583"/>
          <cell r="G583" t="str">
            <v>Только под полную стоимость оборудования</v>
          </cell>
        </row>
        <row r="584">
          <cell r="A584" t="str">
            <v>Демичев Вячеслав Вячеславович</v>
          </cell>
          <cell r="B584">
            <v>29726</v>
          </cell>
          <cell r="C584" t="str">
            <v>НЕВЫДАВАТЬ</v>
          </cell>
          <cell r="D584" t="str">
            <v>В РОЗЫСКЕ</v>
          </cell>
          <cell r="E584"/>
          <cell r="F584"/>
          <cell r="G584" t="str">
            <v>Только под полную стоимость оборудования</v>
          </cell>
        </row>
        <row r="585">
          <cell r="A585" t="str">
            <v>Денисаров Анатолий Игоревич</v>
          </cell>
          <cell r="B585">
            <v>23764</v>
          </cell>
          <cell r="C585" t="str">
            <v>НЕВЫДАВАТЬ</v>
          </cell>
          <cell r="D585" t="str">
            <v>В РОЗЫСКЕ</v>
          </cell>
          <cell r="E585"/>
          <cell r="F585"/>
          <cell r="G585" t="str">
            <v>Только под полную стоимость оборудования</v>
          </cell>
        </row>
        <row r="586">
          <cell r="A586" t="str">
            <v xml:space="preserve">Денисов Вячеслав Юрьевич </v>
          </cell>
          <cell r="B586">
            <v>26417</v>
          </cell>
          <cell r="C586" t="str">
            <v>НЕВЫДАВАТЬ</v>
          </cell>
          <cell r="D586" t="str">
            <v>В РОЗЫСКЕ</v>
          </cell>
          <cell r="E586"/>
          <cell r="F586"/>
          <cell r="G586" t="str">
            <v>Только под полную стоимость оборудования</v>
          </cell>
        </row>
        <row r="587">
          <cell r="A587" t="str">
            <v xml:space="preserve">Денисов Константин Яковлевич </v>
          </cell>
          <cell r="B587">
            <v>20540</v>
          </cell>
          <cell r="C587" t="str">
            <v>НЕВЫДАВАТЬ</v>
          </cell>
          <cell r="D587" t="str">
            <v>В РОЗЫСКЕ</v>
          </cell>
          <cell r="E587"/>
          <cell r="F587"/>
          <cell r="G587" t="str">
            <v>Только под полную стоимость оборудования</v>
          </cell>
        </row>
        <row r="588">
          <cell r="A588" t="str">
            <v xml:space="preserve">Денисов Станислав Юрьевич </v>
          </cell>
          <cell r="B588">
            <v>26417</v>
          </cell>
          <cell r="C588" t="str">
            <v>НЕВЫДАВАТЬ</v>
          </cell>
          <cell r="D588" t="str">
            <v>В РОЗЫСКЕ</v>
          </cell>
          <cell r="E588"/>
          <cell r="F588"/>
          <cell r="G588" t="str">
            <v>Только под полную стоимость оборудования</v>
          </cell>
        </row>
        <row r="589">
          <cell r="A589" t="str">
            <v>Денищенко Сергей Николаевич</v>
          </cell>
          <cell r="B589">
            <v>21450</v>
          </cell>
          <cell r="C589" t="str">
            <v>НЕВЫДАВАТЬ</v>
          </cell>
          <cell r="D589" t="str">
            <v>В РОЗЫСКЕ</v>
          </cell>
          <cell r="E589"/>
          <cell r="F589"/>
          <cell r="G589" t="str">
            <v>Только под полную стоимость оборудования</v>
          </cell>
        </row>
        <row r="590">
          <cell r="A590" t="str">
            <v>Дергоусов Виталий Николаевич</v>
          </cell>
          <cell r="B590">
            <v>26015</v>
          </cell>
          <cell r="C590" t="str">
            <v>НЕВЫДАВАТЬ</v>
          </cell>
          <cell r="D590" t="str">
            <v>В РОЗЫСКЕ</v>
          </cell>
          <cell r="E590"/>
          <cell r="F590"/>
          <cell r="G590" t="str">
            <v>Только под полную стоимость оборудования</v>
          </cell>
        </row>
        <row r="591">
          <cell r="A591" t="str">
            <v xml:space="preserve">Дереза Юрьий Дмитриевич </v>
          </cell>
          <cell r="B591">
            <v>20015</v>
          </cell>
          <cell r="C591" t="str">
            <v>НЕВЫДАВАТЬ</v>
          </cell>
          <cell r="D591" t="str">
            <v>В РОЗЫСКЕ</v>
          </cell>
          <cell r="E591"/>
          <cell r="F591"/>
          <cell r="G591" t="str">
            <v>Только под полную стоимость оборудования</v>
          </cell>
        </row>
        <row r="592">
          <cell r="A592" t="str">
            <v xml:space="preserve">Дерусов Андрей Михаилович </v>
          </cell>
          <cell r="B592">
            <v>28425</v>
          </cell>
          <cell r="C592" t="str">
            <v>НЕВЫДАВАТЬ</v>
          </cell>
          <cell r="D592" t="str">
            <v>В РОЗЫСКЕ</v>
          </cell>
          <cell r="E592"/>
          <cell r="F592"/>
          <cell r="G592" t="str">
            <v>Только под полную стоимость оборудования</v>
          </cell>
        </row>
        <row r="593">
          <cell r="A593" t="str">
            <v xml:space="preserve">Джабаев Ерлан Джуманович </v>
          </cell>
          <cell r="B593">
            <v>27969</v>
          </cell>
          <cell r="C593" t="str">
            <v>НЕВЫДАВАТЬ</v>
          </cell>
          <cell r="D593" t="str">
            <v>В РОЗЫСКЕ</v>
          </cell>
          <cell r="E593"/>
          <cell r="F593"/>
          <cell r="G593" t="str">
            <v>Только под полную стоимость оборудования</v>
          </cell>
        </row>
        <row r="594">
          <cell r="A594" t="str">
            <v>Джаббаров Мамиржан Дехканович</v>
          </cell>
          <cell r="B594" t="str">
            <v>10.11.1961   .</v>
          </cell>
          <cell r="C594" t="str">
            <v>НЕВЫДАВАТЬ</v>
          </cell>
          <cell r="D594" t="str">
            <v>В РОЗЫСКЕ</v>
          </cell>
          <cell r="E594"/>
          <cell r="F594"/>
          <cell r="G594" t="str">
            <v>Только под полную стоимость оборудования</v>
          </cell>
        </row>
        <row r="595">
          <cell r="A595" t="str">
            <v>Джакыпов Алмаз Таштанбекович</v>
          </cell>
          <cell r="B595">
            <v>32140</v>
          </cell>
          <cell r="C595" t="str">
            <v>НЕВЫДАВАТЬ</v>
          </cell>
          <cell r="D595" t="str">
            <v>В РОЗЫСКЕ</v>
          </cell>
          <cell r="E595"/>
          <cell r="F595"/>
          <cell r="G595" t="str">
            <v>Только под полную стоимость оборудования</v>
          </cell>
        </row>
        <row r="596">
          <cell r="A596" t="str">
            <v>Джакыпов Мирбек Бейшеналиевич</v>
          </cell>
          <cell r="B596">
            <v>29880</v>
          </cell>
          <cell r="C596" t="str">
            <v>НЕВЫДАВАТЬ</v>
          </cell>
          <cell r="D596" t="str">
            <v>В РОЗЫСКЕ</v>
          </cell>
          <cell r="E596"/>
          <cell r="F596"/>
          <cell r="G596" t="str">
            <v>Только под полную стоимость оборудования</v>
          </cell>
        </row>
        <row r="597">
          <cell r="A597" t="str">
            <v xml:space="preserve">Джалалов Салижан Нуманович </v>
          </cell>
          <cell r="B597">
            <v>23501</v>
          </cell>
          <cell r="C597" t="str">
            <v>НЕВЫДАВАТЬ</v>
          </cell>
          <cell r="D597" t="str">
            <v>В РОЗЫСКЕ</v>
          </cell>
          <cell r="E597"/>
          <cell r="F597"/>
          <cell r="G597" t="str">
            <v>Только под полную стоимость оборудования</v>
          </cell>
        </row>
        <row r="598">
          <cell r="A598" t="str">
            <v>Джахия Владимир Амброзович</v>
          </cell>
          <cell r="B598">
            <v>24244</v>
          </cell>
          <cell r="C598" t="str">
            <v>НЕВЫДАВАТЬ</v>
          </cell>
          <cell r="D598" t="str">
            <v>В РОЗЫСКЕ</v>
          </cell>
          <cell r="E598"/>
          <cell r="F598"/>
          <cell r="G598" t="str">
            <v>Только под полную стоимость оборудования</v>
          </cell>
        </row>
        <row r="599">
          <cell r="A599" t="str">
            <v>Джибладзе Гигла Джондошевич</v>
          </cell>
          <cell r="B599">
            <v>19136</v>
          </cell>
          <cell r="C599" t="str">
            <v>НЕВЫДАВАТЬ</v>
          </cell>
          <cell r="D599" t="str">
            <v>В РОЗЫСКЕ</v>
          </cell>
          <cell r="E599"/>
          <cell r="F599"/>
          <cell r="G599" t="str">
            <v>Только под полную стоимость оборудования</v>
          </cell>
        </row>
        <row r="600">
          <cell r="A600" t="str">
            <v xml:space="preserve">Джороев Таалайбек Маматович </v>
          </cell>
          <cell r="B600">
            <v>26918</v>
          </cell>
          <cell r="C600" t="str">
            <v>НЕВЫДАВАТЬ</v>
          </cell>
          <cell r="D600" t="str">
            <v>В РОЗЫСКЕ</v>
          </cell>
          <cell r="E600"/>
          <cell r="F600"/>
          <cell r="G600" t="str">
            <v>Только под полную стоимость оборудования</v>
          </cell>
        </row>
        <row r="601">
          <cell r="A601" t="str">
            <v xml:space="preserve">Джумаев Хайдарали Джамалович </v>
          </cell>
          <cell r="B601">
            <v>28096</v>
          </cell>
          <cell r="C601" t="str">
            <v>НЕВЫДАВАТЬ</v>
          </cell>
          <cell r="D601" t="str">
            <v>В РОЗЫСКЕ</v>
          </cell>
          <cell r="E601"/>
          <cell r="F601"/>
          <cell r="G601" t="str">
            <v>Только под полную стоимость оборудования</v>
          </cell>
        </row>
        <row r="602">
          <cell r="A602" t="str">
            <v xml:space="preserve">Джураев Иномидин Ибрагимович </v>
          </cell>
          <cell r="B602">
            <v>26380</v>
          </cell>
          <cell r="C602" t="str">
            <v>НЕВЫДАВАТЬ</v>
          </cell>
          <cell r="D602" t="str">
            <v>В РОЗЫСКЕ</v>
          </cell>
          <cell r="E602"/>
          <cell r="F602"/>
          <cell r="G602" t="str">
            <v>Только под полную стоимость оборудования</v>
          </cell>
        </row>
        <row r="603">
          <cell r="A603" t="str">
            <v>Дибров Олег Николаевич</v>
          </cell>
          <cell r="B603">
            <v>30133</v>
          </cell>
          <cell r="C603" t="str">
            <v>НЕВЫДАВАТЬ</v>
          </cell>
          <cell r="D603" t="str">
            <v>В РОЗЫСКЕ</v>
          </cell>
          <cell r="E603"/>
          <cell r="F603"/>
          <cell r="G603" t="str">
            <v>Только под полную стоимость оборудования</v>
          </cell>
        </row>
        <row r="604">
          <cell r="A604" t="str">
            <v xml:space="preserve">Динг Зуолонг </v>
          </cell>
          <cell r="B604">
            <v>32277</v>
          </cell>
          <cell r="C604" t="str">
            <v>НЕВЫДАВАТЬ</v>
          </cell>
          <cell r="D604" t="str">
            <v>В РОЗЫСКЕ</v>
          </cell>
          <cell r="E604"/>
          <cell r="F604"/>
          <cell r="G604" t="str">
            <v>Только под полную стоимость оборудования</v>
          </cell>
        </row>
        <row r="605">
          <cell r="A605" t="str">
            <v>Дмитриев Вадим Сергеевич</v>
          </cell>
          <cell r="B605">
            <v>29310</v>
          </cell>
          <cell r="C605" t="str">
            <v>НЕВЫДАВАТЬ</v>
          </cell>
          <cell r="D605" t="str">
            <v>В РОЗЫСКЕ</v>
          </cell>
          <cell r="E605"/>
          <cell r="F605"/>
          <cell r="G605" t="str">
            <v>Только под полную стоимость оборудования</v>
          </cell>
        </row>
        <row r="606">
          <cell r="A606" t="str">
            <v xml:space="preserve">Дмитриев Константин Петрович </v>
          </cell>
          <cell r="B606">
            <v>26118</v>
          </cell>
          <cell r="C606" t="str">
            <v>НЕВЫДАВАТЬ</v>
          </cell>
          <cell r="D606" t="str">
            <v>В РОЗЫСКЕ</v>
          </cell>
          <cell r="E606"/>
          <cell r="F606"/>
          <cell r="G606" t="str">
            <v>Только под полную стоимость оборудования</v>
          </cell>
        </row>
        <row r="607">
          <cell r="A607" t="str">
            <v>Долганов Юрий Генадьевич</v>
          </cell>
          <cell r="B607">
            <v>22857</v>
          </cell>
          <cell r="C607" t="str">
            <v>НЕВЫДАВАТЬ</v>
          </cell>
          <cell r="D607" t="str">
            <v>В РОЗЫСКЕ</v>
          </cell>
          <cell r="E607"/>
          <cell r="F607"/>
          <cell r="G607" t="str">
            <v>Только под полную стоимость оборудования</v>
          </cell>
        </row>
        <row r="608">
          <cell r="A608" t="str">
            <v xml:space="preserve">Должников Виктор Викторович </v>
          </cell>
          <cell r="B608">
            <v>21966</v>
          </cell>
          <cell r="C608" t="str">
            <v>НЕВЫДАВАТЬ</v>
          </cell>
          <cell r="D608" t="str">
            <v>В РОЗЫСКЕ</v>
          </cell>
          <cell r="E608"/>
          <cell r="F608"/>
          <cell r="G608" t="str">
            <v>Только под полную стоимость оборудования</v>
          </cell>
        </row>
        <row r="609">
          <cell r="A609" t="str">
            <v>Дооронов Кубанычбек Мадишович</v>
          </cell>
          <cell r="B609">
            <v>22900</v>
          </cell>
          <cell r="C609" t="str">
            <v>НЕВЫДАВАТЬ</v>
          </cell>
          <cell r="D609" t="str">
            <v>В РОЗЫСКЕ</v>
          </cell>
          <cell r="E609"/>
          <cell r="F609"/>
          <cell r="G609" t="str">
            <v>Только под полную стоимость оборудования</v>
          </cell>
        </row>
        <row r="610">
          <cell r="A610" t="str">
            <v>Досбаев Дильмухамбет Муханович</v>
          </cell>
          <cell r="B610">
            <v>27059</v>
          </cell>
          <cell r="C610" t="str">
            <v>НЕВЫДАВАТЬ</v>
          </cell>
          <cell r="D610" t="str">
            <v>В РОЗЫСКЕ</v>
          </cell>
          <cell r="E610"/>
          <cell r="F610"/>
          <cell r="G610" t="str">
            <v>Только под полную стоимость оборудования</v>
          </cell>
        </row>
        <row r="611">
          <cell r="A611" t="str">
            <v>Доулбеков Асхат Доулбекович</v>
          </cell>
          <cell r="B611">
            <v>31461</v>
          </cell>
          <cell r="C611" t="str">
            <v>НЕВЫДАВАТЬ</v>
          </cell>
          <cell r="D611" t="str">
            <v>В РОЗЫСКЕ</v>
          </cell>
          <cell r="E611"/>
          <cell r="F611"/>
          <cell r="G611" t="str">
            <v>Только под полную стоимость оборудования</v>
          </cell>
        </row>
        <row r="612">
          <cell r="A612" t="str">
            <v xml:space="preserve">Драгушан Александр Фёдорович </v>
          </cell>
          <cell r="B612">
            <v>19079</v>
          </cell>
          <cell r="C612" t="str">
            <v>НЕВЫДАВАТЬ</v>
          </cell>
          <cell r="D612" t="str">
            <v>В РОЗЫСКЕ</v>
          </cell>
          <cell r="E612"/>
          <cell r="F612"/>
          <cell r="G612" t="str">
            <v>Только под полную стоимость оборудования</v>
          </cell>
        </row>
        <row r="613">
          <cell r="A613" t="str">
            <v>Дронин Анатолий Аркадьевич</v>
          </cell>
          <cell r="B613">
            <v>22738</v>
          </cell>
          <cell r="C613" t="str">
            <v>НЕВЫДАВАТЬ</v>
          </cell>
          <cell r="D613" t="str">
            <v>В РОЗЫСКЕ</v>
          </cell>
          <cell r="E613"/>
          <cell r="F613"/>
          <cell r="G613" t="str">
            <v>Только под полную стоимость оборудования</v>
          </cell>
        </row>
        <row r="614">
          <cell r="A614" t="str">
            <v>Дуда Валерий Федорович</v>
          </cell>
          <cell r="B614">
            <v>20460</v>
          </cell>
          <cell r="C614" t="str">
            <v>НЕВЫДАВАТЬ</v>
          </cell>
          <cell r="D614" t="str">
            <v>В РОЗЫСКЕ</v>
          </cell>
          <cell r="E614"/>
          <cell r="F614"/>
          <cell r="G614" t="str">
            <v>Только под полную стоимость оборудования</v>
          </cell>
        </row>
        <row r="615">
          <cell r="A615" t="str">
            <v>Дуйшебаев Урмат Шаймердиевич</v>
          </cell>
          <cell r="B615">
            <v>29723</v>
          </cell>
          <cell r="C615" t="str">
            <v>НЕВЫДАВАТЬ</v>
          </cell>
          <cell r="D615" t="str">
            <v>В РОЗЫСКЕ</v>
          </cell>
          <cell r="E615"/>
          <cell r="F615"/>
          <cell r="G615" t="str">
            <v>Только под полную стоимость оборудования</v>
          </cell>
        </row>
        <row r="616">
          <cell r="A616" t="str">
            <v>Дуйшембиев Ишенбек Жекшенбекович</v>
          </cell>
          <cell r="B616">
            <v>29141</v>
          </cell>
          <cell r="C616" t="str">
            <v>НЕВЫДАВАТЬ</v>
          </cell>
          <cell r="D616" t="str">
            <v>В РОЗЫСКЕ</v>
          </cell>
          <cell r="E616"/>
          <cell r="F616"/>
          <cell r="G616" t="str">
            <v>Только под полную стоимость оборудования</v>
          </cell>
        </row>
        <row r="617">
          <cell r="A617" t="str">
            <v xml:space="preserve">Дуйшембиев Касымбек Курманбекович </v>
          </cell>
          <cell r="B617">
            <v>22650</v>
          </cell>
          <cell r="C617" t="str">
            <v>НЕВЫДАВАТЬ</v>
          </cell>
          <cell r="D617" t="str">
            <v>В РОЗЫСКЕ</v>
          </cell>
          <cell r="E617"/>
          <cell r="F617"/>
          <cell r="G617" t="str">
            <v>Только под полную стоимость оборудования</v>
          </cell>
        </row>
        <row r="618">
          <cell r="A618" t="str">
            <v xml:space="preserve">Дуйшенов Жалганбек </v>
          </cell>
          <cell r="B618">
            <v>20401</v>
          </cell>
          <cell r="C618" t="str">
            <v>НЕВЫДАВАТЬ</v>
          </cell>
          <cell r="D618" t="str">
            <v>В РОЗЫСКЕ</v>
          </cell>
          <cell r="E618"/>
          <cell r="F618"/>
          <cell r="G618" t="str">
            <v>Только под полную стоимость оборудования</v>
          </cell>
        </row>
        <row r="619">
          <cell r="A619" t="str">
            <v>Духанин Павел Юрьевич</v>
          </cell>
          <cell r="B619">
            <v>22845</v>
          </cell>
          <cell r="C619" t="str">
            <v>НЕВЫДАВАТЬ</v>
          </cell>
          <cell r="D619" t="str">
            <v>В РОЗЫСКЕ</v>
          </cell>
          <cell r="E619"/>
          <cell r="F619"/>
          <cell r="G619" t="str">
            <v>Только под полную стоимость оборудования</v>
          </cell>
        </row>
        <row r="620">
          <cell r="A620" t="str">
            <v>Егоров Владимир Викторович</v>
          </cell>
          <cell r="B620">
            <v>19800</v>
          </cell>
          <cell r="C620" t="str">
            <v>НЕВЫДАВАТЬ</v>
          </cell>
          <cell r="D620" t="str">
            <v>В РОЗЫСКЕ</v>
          </cell>
          <cell r="E620"/>
          <cell r="F620"/>
          <cell r="G620" t="str">
            <v>Только под полную стоимость оборудования</v>
          </cell>
        </row>
        <row r="621">
          <cell r="A621" t="str">
            <v xml:space="preserve">Елистратов Евгений Васильевич </v>
          </cell>
          <cell r="B621">
            <v>22143</v>
          </cell>
          <cell r="C621" t="str">
            <v>НЕВЫДАВАТЬ</v>
          </cell>
          <cell r="D621" t="str">
            <v>В РОЗЫСКЕ</v>
          </cell>
          <cell r="E621"/>
          <cell r="F621"/>
          <cell r="G621" t="str">
            <v>Только под полную стоимость оборудования</v>
          </cell>
        </row>
        <row r="622">
          <cell r="A622" t="str">
            <v>Ендибаев Марат Суюнбекович</v>
          </cell>
          <cell r="B622">
            <v>25105</v>
          </cell>
          <cell r="C622" t="str">
            <v>НЕВЫДАВАТЬ</v>
          </cell>
          <cell r="D622" t="str">
            <v>В РОЗЫСКЕ</v>
          </cell>
          <cell r="E622"/>
          <cell r="F622"/>
          <cell r="G622" t="str">
            <v>Только под полную стоимость оборудования</v>
          </cell>
        </row>
        <row r="623">
          <cell r="A623" t="str">
            <v>Ермаков Сергей Николаевич</v>
          </cell>
          <cell r="B623">
            <v>22000</v>
          </cell>
          <cell r="C623" t="str">
            <v>НЕВЫДАВАТЬ</v>
          </cell>
          <cell r="D623" t="str">
            <v>В РОЗЫСКЕ</v>
          </cell>
          <cell r="E623"/>
          <cell r="F623"/>
          <cell r="G623" t="str">
            <v>Только под полную стоимость оборудования</v>
          </cell>
        </row>
        <row r="624">
          <cell r="A624" t="str">
            <v xml:space="preserve">Еросько Андрей Владимирович </v>
          </cell>
          <cell r="B624">
            <v>23982</v>
          </cell>
          <cell r="C624" t="str">
            <v>НЕВЫДАВАТЬ</v>
          </cell>
          <cell r="D624" t="str">
            <v>В РОЗЫСКЕ</v>
          </cell>
          <cell r="E624"/>
          <cell r="F624"/>
          <cell r="G624" t="str">
            <v>Только под полную стоимость оборудования</v>
          </cell>
        </row>
        <row r="625">
          <cell r="A625" t="str">
            <v>Жаанбаев Замирбек Тажибаевич</v>
          </cell>
          <cell r="B625">
            <v>29973</v>
          </cell>
          <cell r="C625" t="str">
            <v>НЕВЫДАВАТЬ</v>
          </cell>
          <cell r="D625" t="str">
            <v>В РОЗЫСКЕ</v>
          </cell>
          <cell r="E625"/>
          <cell r="F625"/>
          <cell r="G625" t="str">
            <v>Только под полную стоимость оборудования</v>
          </cell>
        </row>
        <row r="626">
          <cell r="A626" t="str">
            <v>Жайнаков Мухамед Арсарбекович</v>
          </cell>
          <cell r="B626">
            <v>24888</v>
          </cell>
          <cell r="C626" t="str">
            <v>НЕВЫДАВАТЬ</v>
          </cell>
          <cell r="D626" t="str">
            <v>В РОЗЫСКЕ</v>
          </cell>
          <cell r="E626"/>
          <cell r="F626"/>
          <cell r="G626" t="str">
            <v>Только под полную стоимость оборудования</v>
          </cell>
        </row>
        <row r="627">
          <cell r="A627" t="str">
            <v>Жакшылыков Саламат Асанкунович</v>
          </cell>
          <cell r="B627">
            <v>21276</v>
          </cell>
          <cell r="C627" t="str">
            <v>НЕВЫДАВАТЬ</v>
          </cell>
          <cell r="D627" t="str">
            <v>В РОЗЫСКЕ</v>
          </cell>
          <cell r="E627"/>
          <cell r="F627"/>
          <cell r="G627" t="str">
            <v>Только под полную стоимость оборудования</v>
          </cell>
        </row>
        <row r="628">
          <cell r="A628" t="str">
            <v>Жамаев Элибек Халилович</v>
          </cell>
          <cell r="B628">
            <v>22946</v>
          </cell>
          <cell r="C628" t="str">
            <v>НЕВЫДАВАТЬ</v>
          </cell>
          <cell r="D628" t="str">
            <v>В РОЗЫСКЕ</v>
          </cell>
          <cell r="E628"/>
          <cell r="F628"/>
          <cell r="G628" t="str">
            <v>Только под полную стоимость оборудования</v>
          </cell>
        </row>
        <row r="629">
          <cell r="A629" t="str">
            <v xml:space="preserve">Жамалбек кызы </v>
          </cell>
          <cell r="B629"/>
          <cell r="C629" t="str">
            <v>НЕВЫДАВАТЬ</v>
          </cell>
          <cell r="D629" t="str">
            <v>В РОЗЫСКЕ</v>
          </cell>
          <cell r="E629"/>
          <cell r="F629"/>
          <cell r="G629" t="str">
            <v>Только под полную стоимость оборудования</v>
          </cell>
        </row>
        <row r="630">
          <cell r="A630" t="str">
            <v>Жаныбеков Алмазбек Базарбекович</v>
          </cell>
          <cell r="B630">
            <v>32308</v>
          </cell>
          <cell r="C630" t="str">
            <v>НЕВЫДАВАТЬ</v>
          </cell>
          <cell r="D630" t="str">
            <v>В РОЗЫСКЕ</v>
          </cell>
          <cell r="E630"/>
          <cell r="F630"/>
          <cell r="G630" t="str">
            <v>Только под полную стоимость оборудования</v>
          </cell>
        </row>
        <row r="631">
          <cell r="A631" t="str">
            <v>Жапаркулов Марат Мырзабекович</v>
          </cell>
          <cell r="B631">
            <v>25894</v>
          </cell>
          <cell r="C631" t="str">
            <v>НЕВЫДАВАТЬ</v>
          </cell>
          <cell r="D631" t="str">
            <v>В РОЗЫСКЕ</v>
          </cell>
          <cell r="E631"/>
          <cell r="F631"/>
          <cell r="G631" t="str">
            <v>Только под полную стоимость оборудования</v>
          </cell>
        </row>
        <row r="632">
          <cell r="A632" t="str">
            <v>Жданова Вера Алексеевна</v>
          </cell>
          <cell r="B632">
            <v>18558</v>
          </cell>
          <cell r="C632" t="str">
            <v>НЕВЫДАВАТЬ</v>
          </cell>
          <cell r="D632" t="str">
            <v>В РОЗЫСКЕ</v>
          </cell>
          <cell r="E632"/>
          <cell r="F632"/>
          <cell r="G632" t="str">
            <v>Только под полную стоимость оборудования</v>
          </cell>
        </row>
        <row r="633">
          <cell r="A633" t="str">
            <v>Жиянбеков Абдумамат Чутанбаевич</v>
          </cell>
          <cell r="B633">
            <v>29055</v>
          </cell>
          <cell r="C633" t="str">
            <v>НЕВЫДАВАТЬ</v>
          </cell>
          <cell r="D633" t="str">
            <v>В РОЗЫСКЕ</v>
          </cell>
          <cell r="E633"/>
          <cell r="F633"/>
          <cell r="G633" t="str">
            <v>Только под полную стоимость оборудования</v>
          </cell>
        </row>
        <row r="634">
          <cell r="A634" t="str">
            <v xml:space="preserve">Жмуров Виктор Ильич </v>
          </cell>
          <cell r="B634">
            <v>18455</v>
          </cell>
          <cell r="C634" t="str">
            <v>НЕВЫДАВАТЬ</v>
          </cell>
          <cell r="D634" t="str">
            <v>В РОЗЫСКЕ</v>
          </cell>
          <cell r="E634"/>
          <cell r="F634"/>
          <cell r="G634" t="str">
            <v>Только под полную стоимость оборудования</v>
          </cell>
        </row>
        <row r="635">
          <cell r="A635" t="str">
            <v xml:space="preserve">Жолдошев Нурлан Конокбаевич </v>
          </cell>
          <cell r="B635">
            <v>28151</v>
          </cell>
          <cell r="C635" t="str">
            <v>НЕВЫДАВАТЬ</v>
          </cell>
          <cell r="D635" t="str">
            <v>В РОЗЫСКЕ</v>
          </cell>
          <cell r="E635"/>
          <cell r="F635"/>
          <cell r="G635" t="str">
            <v>Только под полную стоимость оборудования</v>
          </cell>
        </row>
        <row r="636">
          <cell r="A636" t="str">
            <v>Жолудуев Николай Михайлович</v>
          </cell>
          <cell r="B636">
            <v>21163</v>
          </cell>
          <cell r="C636" t="str">
            <v>НЕВЫДАВАТЬ</v>
          </cell>
          <cell r="D636" t="str">
            <v>В РОЗЫСКЕ</v>
          </cell>
          <cell r="E636"/>
          <cell r="F636"/>
          <cell r="G636" t="str">
            <v>Только под полную стоимость оборудования</v>
          </cell>
        </row>
        <row r="637">
          <cell r="A637" t="str">
            <v>Жумабаев Бахтияр Арипжанович</v>
          </cell>
          <cell r="B637" t="str">
            <v>11.04.1969   .</v>
          </cell>
          <cell r="C637" t="str">
            <v>НЕВЫДАВАТЬ</v>
          </cell>
          <cell r="D637" t="str">
            <v>В РОЗЫСКЕ</v>
          </cell>
          <cell r="E637"/>
          <cell r="F637"/>
          <cell r="G637" t="str">
            <v>Только под полную стоимость оборудования</v>
          </cell>
        </row>
        <row r="638">
          <cell r="A638" t="str">
            <v>Жумабаев Кайрат Ишеналиевич</v>
          </cell>
          <cell r="B638">
            <v>26804</v>
          </cell>
          <cell r="C638" t="str">
            <v>НЕВЫДАВАТЬ</v>
          </cell>
          <cell r="D638" t="str">
            <v>В РОЗЫСКЕ</v>
          </cell>
          <cell r="E638"/>
          <cell r="F638"/>
          <cell r="G638" t="str">
            <v>Только под полную стоимость оборудования</v>
          </cell>
        </row>
        <row r="639">
          <cell r="A639" t="str">
            <v>Жумабаев Мелис Макенович</v>
          </cell>
          <cell r="B639">
            <v>26599</v>
          </cell>
          <cell r="C639" t="str">
            <v>НЕВЫДАВАТЬ</v>
          </cell>
          <cell r="D639" t="str">
            <v>В РОЗЫСКЕ</v>
          </cell>
          <cell r="E639"/>
          <cell r="F639"/>
          <cell r="G639" t="str">
            <v>Только под полную стоимость оборудования</v>
          </cell>
        </row>
        <row r="640">
          <cell r="A640" t="str">
            <v>Жумабеков Абакир Монтоевич</v>
          </cell>
          <cell r="B640">
            <v>20614</v>
          </cell>
          <cell r="C640" t="str">
            <v>НЕВЫДАВАТЬ</v>
          </cell>
          <cell r="D640" t="str">
            <v>В РОЗЫСКЕ</v>
          </cell>
          <cell r="E640"/>
          <cell r="F640"/>
          <cell r="G640" t="str">
            <v>Только под полную стоимость оборудования</v>
          </cell>
        </row>
        <row r="641">
          <cell r="A641" t="str">
            <v>Жумабеков Ардак Байжолоевич</v>
          </cell>
          <cell r="B641">
            <v>24917</v>
          </cell>
          <cell r="C641" t="str">
            <v>НЕВЫДАВАТЬ</v>
          </cell>
          <cell r="D641" t="str">
            <v>В РОЗЫСКЕ</v>
          </cell>
          <cell r="E641"/>
          <cell r="F641"/>
          <cell r="G641" t="str">
            <v>Только под полную стоимость оборудования</v>
          </cell>
        </row>
        <row r="642">
          <cell r="A642" t="str">
            <v xml:space="preserve">Жумагулов Абдимиталип Жумагулович </v>
          </cell>
          <cell r="B642">
            <v>22746</v>
          </cell>
          <cell r="C642" t="str">
            <v>НЕВЫДАВАТЬ</v>
          </cell>
          <cell r="D642" t="str">
            <v>В РОЗЫСКЕ</v>
          </cell>
          <cell r="E642"/>
          <cell r="F642"/>
          <cell r="G642" t="str">
            <v>Только под полную стоимость оборудования</v>
          </cell>
        </row>
        <row r="643">
          <cell r="A643" t="str">
            <v>Жумашев Таалайбек Тойчиевич</v>
          </cell>
          <cell r="B643">
            <v>25669</v>
          </cell>
          <cell r="C643" t="str">
            <v>НЕВЫДАВАТЬ</v>
          </cell>
          <cell r="D643" t="str">
            <v>В РОЗЫСКЕ</v>
          </cell>
          <cell r="E643"/>
          <cell r="F643"/>
          <cell r="G643" t="str">
            <v>Только под полную стоимость оборудования</v>
          </cell>
        </row>
        <row r="644">
          <cell r="A644" t="str">
            <v xml:space="preserve">Жураев Мухтаржан </v>
          </cell>
          <cell r="B644">
            <v>15630</v>
          </cell>
          <cell r="C644" t="str">
            <v>НЕВЫДАВАТЬ</v>
          </cell>
          <cell r="D644" t="str">
            <v>В РОЗЫСКЕ</v>
          </cell>
          <cell r="E644"/>
          <cell r="F644"/>
          <cell r="G644" t="str">
            <v>Только под полную стоимость оборудования</v>
          </cell>
        </row>
        <row r="645">
          <cell r="A645" t="str">
            <v>Жусупбаев Бакыт Сапарбекович</v>
          </cell>
          <cell r="B645">
            <v>25907</v>
          </cell>
          <cell r="C645" t="str">
            <v>НЕВЫДАВАТЬ</v>
          </cell>
          <cell r="D645" t="str">
            <v>В РОЗЫСКЕ</v>
          </cell>
          <cell r="E645"/>
          <cell r="F645"/>
          <cell r="G645" t="str">
            <v>Только под полную стоимость оборудования</v>
          </cell>
        </row>
        <row r="646">
          <cell r="A646" t="str">
            <v>Жусупова Чынара Ганиновна</v>
          </cell>
          <cell r="B646">
            <v>28636</v>
          </cell>
          <cell r="C646" t="str">
            <v>НЕВЫДАВАТЬ</v>
          </cell>
          <cell r="D646" t="str">
            <v>В РОЗЫСКЕ</v>
          </cell>
          <cell r="E646"/>
          <cell r="F646"/>
          <cell r="G646" t="str">
            <v>Только под полную стоимость оборудования</v>
          </cell>
        </row>
        <row r="647">
          <cell r="A647" t="str">
            <v>Жылкайдарова Надира Сергековна</v>
          </cell>
          <cell r="B647">
            <v>32431</v>
          </cell>
          <cell r="C647" t="str">
            <v>НЕВЫДАВАТЬ</v>
          </cell>
          <cell r="D647" t="str">
            <v>В РОЗЫСКЕ</v>
          </cell>
          <cell r="E647"/>
          <cell r="F647"/>
          <cell r="G647" t="str">
            <v>Только под полную стоимость оборудования</v>
          </cell>
        </row>
        <row r="648">
          <cell r="A648" t="str">
            <v xml:space="preserve">Заафари Арефа </v>
          </cell>
          <cell r="B648">
            <v>26776</v>
          </cell>
          <cell r="C648" t="str">
            <v>НЕВЫДАВАТЬ</v>
          </cell>
          <cell r="D648" t="str">
            <v>В РОЗЫСКЕ</v>
          </cell>
          <cell r="E648"/>
          <cell r="F648"/>
          <cell r="G648" t="str">
            <v>Только под полную стоимость оборудования</v>
          </cell>
        </row>
        <row r="649">
          <cell r="A649" t="str">
            <v>Зайцев Игорь Николаевич</v>
          </cell>
          <cell r="B649">
            <v>23689</v>
          </cell>
          <cell r="C649" t="str">
            <v>НЕВЫДАВАТЬ</v>
          </cell>
          <cell r="D649" t="str">
            <v>В РОЗЫСКЕ</v>
          </cell>
          <cell r="E649"/>
          <cell r="F649"/>
          <cell r="G649" t="str">
            <v>Только под полную стоимость оборудования</v>
          </cell>
        </row>
        <row r="650">
          <cell r="A650" t="str">
            <v>Зайцев Юрий Владимирович</v>
          </cell>
          <cell r="B650">
            <v>23281</v>
          </cell>
          <cell r="C650" t="str">
            <v>НЕВЫДАВАТЬ</v>
          </cell>
          <cell r="D650" t="str">
            <v>В РОЗЫСКЕ</v>
          </cell>
          <cell r="E650"/>
          <cell r="F650"/>
          <cell r="G650" t="str">
            <v>Только под полную стоимость оборудования</v>
          </cell>
        </row>
        <row r="651">
          <cell r="A651" t="str">
            <v>Зайцев Юрий Игоревич</v>
          </cell>
          <cell r="B651">
            <v>19321</v>
          </cell>
          <cell r="C651" t="str">
            <v>НЕВЫДАВАТЬ</v>
          </cell>
          <cell r="D651" t="str">
            <v>В РОЗЫСКЕ</v>
          </cell>
          <cell r="E651"/>
          <cell r="F651"/>
          <cell r="G651" t="str">
            <v>Только под полную стоимость оборудования</v>
          </cell>
        </row>
        <row r="652">
          <cell r="A652" t="str">
            <v>Закиров Илшад Мавлиевич</v>
          </cell>
          <cell r="B652">
            <v>23371</v>
          </cell>
          <cell r="C652" t="str">
            <v>НЕВЫДАВАТЬ</v>
          </cell>
          <cell r="D652" t="str">
            <v>В РОЗЫСКЕ</v>
          </cell>
          <cell r="E652"/>
          <cell r="F652"/>
          <cell r="G652" t="str">
            <v>Только под полную стоимость оборудования</v>
          </cell>
        </row>
        <row r="653">
          <cell r="A653" t="str">
            <v>Закиров Кайрат Жамбылович</v>
          </cell>
          <cell r="B653">
            <v>24506</v>
          </cell>
          <cell r="C653" t="str">
            <v>НЕВЫДАВАТЬ</v>
          </cell>
          <cell r="D653" t="str">
            <v>В РОЗЫСКЕ</v>
          </cell>
          <cell r="E653"/>
          <cell r="F653"/>
          <cell r="G653" t="str">
            <v>Только под полную стоимость оборудования</v>
          </cell>
        </row>
        <row r="654">
          <cell r="A654" t="str">
            <v>Захарчец Александр Антонович</v>
          </cell>
          <cell r="B654">
            <v>24896</v>
          </cell>
          <cell r="C654" t="str">
            <v>НЕВЫДАВАТЬ</v>
          </cell>
          <cell r="D654" t="str">
            <v>В РОЗЫСКЕ</v>
          </cell>
          <cell r="E654"/>
          <cell r="F654"/>
          <cell r="G654" t="str">
            <v>Только под полную стоимость оборудования</v>
          </cell>
        </row>
        <row r="655">
          <cell r="A655" t="str">
            <v>Захарчук Сергей Иванович</v>
          </cell>
          <cell r="B655">
            <v>24295</v>
          </cell>
          <cell r="C655" t="str">
            <v>НЕВЫДАВАТЬ</v>
          </cell>
          <cell r="D655" t="str">
            <v>В РОЗЫСКЕ</v>
          </cell>
          <cell r="E655"/>
          <cell r="F655"/>
          <cell r="G655" t="str">
            <v>Только под полную стоимость оборудования</v>
          </cell>
        </row>
        <row r="656">
          <cell r="A656" t="str">
            <v>Зитев Семен Михайлович</v>
          </cell>
          <cell r="B656">
            <v>33157</v>
          </cell>
          <cell r="C656" t="str">
            <v>НЕВЫДАВАТЬ</v>
          </cell>
          <cell r="D656" t="str">
            <v>В РОЗЫСКЕ</v>
          </cell>
          <cell r="E656"/>
          <cell r="F656"/>
          <cell r="G656" t="str">
            <v>Только под полную стоимость оборудования</v>
          </cell>
        </row>
        <row r="657">
          <cell r="A657" t="str">
            <v xml:space="preserve">Зуев Игорь Николаевич </v>
          </cell>
          <cell r="B657">
            <v>27114</v>
          </cell>
          <cell r="C657" t="str">
            <v>НЕВЫДАВАТЬ</v>
          </cell>
          <cell r="D657" t="str">
            <v>В РОЗЫСКЕ</v>
          </cell>
          <cell r="E657"/>
          <cell r="F657"/>
          <cell r="G657" t="str">
            <v>Только под полную стоимость оборудования</v>
          </cell>
        </row>
        <row r="658">
          <cell r="A658" t="str">
            <v>Зулушев Атаман Абдыкадырович</v>
          </cell>
          <cell r="B658">
            <v>29694</v>
          </cell>
          <cell r="C658" t="str">
            <v>НЕВЫДАВАТЬ</v>
          </cell>
          <cell r="D658" t="str">
            <v>В РОЗЫСКЕ</v>
          </cell>
          <cell r="E658"/>
          <cell r="F658"/>
          <cell r="G658" t="str">
            <v>Только под полную стоимость оборудования</v>
          </cell>
        </row>
        <row r="659">
          <cell r="A659" t="str">
            <v>Зульпиев Рафик Махмуджанович</v>
          </cell>
          <cell r="B659">
            <v>26218</v>
          </cell>
          <cell r="C659" t="str">
            <v>НЕВЫДАВАТЬ</v>
          </cell>
          <cell r="D659" t="str">
            <v>В РОЗЫСКЕ</v>
          </cell>
          <cell r="E659"/>
          <cell r="F659"/>
          <cell r="G659" t="str">
            <v>Только под полную стоимость оборудования</v>
          </cell>
        </row>
        <row r="660">
          <cell r="A660" t="str">
            <v xml:space="preserve">Зуреймо Айшан </v>
          </cell>
          <cell r="B660">
            <v>28130</v>
          </cell>
          <cell r="C660" t="str">
            <v>НЕВЫДАВАТЬ</v>
          </cell>
          <cell r="D660" t="str">
            <v>В РОЗЫСКЕ</v>
          </cell>
          <cell r="E660"/>
          <cell r="F660"/>
          <cell r="G660" t="str">
            <v>Только под полную стоимость оборудования</v>
          </cell>
        </row>
        <row r="661">
          <cell r="A661" t="str">
            <v>Ибрагимов Али Ибрагимович</v>
          </cell>
          <cell r="B661">
            <v>19209</v>
          </cell>
          <cell r="C661" t="str">
            <v>НЕВЫДАВАТЬ</v>
          </cell>
          <cell r="D661" t="str">
            <v>В РОЗЫСКЕ</v>
          </cell>
          <cell r="E661"/>
          <cell r="F661"/>
          <cell r="G661" t="str">
            <v>Только под полную стоимость оборудования</v>
          </cell>
        </row>
        <row r="662">
          <cell r="A662" t="str">
            <v>Иванов Виталий Михайлович</v>
          </cell>
          <cell r="B662">
            <v>30008</v>
          </cell>
          <cell r="C662" t="str">
            <v>НЕВЫДАВАТЬ</v>
          </cell>
          <cell r="D662" t="str">
            <v>В РОЗЫСКЕ</v>
          </cell>
          <cell r="E662"/>
          <cell r="F662"/>
          <cell r="G662" t="str">
            <v>Только под полную стоимость оборудования</v>
          </cell>
        </row>
        <row r="663">
          <cell r="A663" t="str">
            <v>Иванов Николай Владимирович</v>
          </cell>
          <cell r="B663">
            <v>31947</v>
          </cell>
          <cell r="C663" t="str">
            <v>НЕВЫДАВАТЬ</v>
          </cell>
          <cell r="D663" t="str">
            <v>В РОЗЫСКЕ</v>
          </cell>
          <cell r="E663"/>
          <cell r="F663"/>
          <cell r="G663" t="str">
            <v>Только под полную стоимость оборудования</v>
          </cell>
        </row>
        <row r="664">
          <cell r="A664" t="str">
            <v>Иванов Тихон Николаевич</v>
          </cell>
          <cell r="B664">
            <v>21443</v>
          </cell>
          <cell r="C664" t="str">
            <v>НЕВЫДАВАТЬ</v>
          </cell>
          <cell r="D664" t="str">
            <v>В РОЗЫСКЕ</v>
          </cell>
          <cell r="E664"/>
          <cell r="F664"/>
          <cell r="G664" t="str">
            <v>Только под полную стоимость оборудования</v>
          </cell>
        </row>
        <row r="665">
          <cell r="A665" t="str">
            <v xml:space="preserve">Иванов Юрий Георгиевич </v>
          </cell>
          <cell r="B665">
            <v>22083</v>
          </cell>
          <cell r="C665" t="str">
            <v>НЕВЫДАВАТЬ</v>
          </cell>
          <cell r="D665" t="str">
            <v>В РОЗЫСКЕ</v>
          </cell>
          <cell r="E665"/>
          <cell r="F665"/>
          <cell r="G665" t="str">
            <v>Только под полную стоимость оборудования</v>
          </cell>
        </row>
        <row r="666">
          <cell r="A666" t="str">
            <v>Игамбердиев Игорь Иванович</v>
          </cell>
          <cell r="B666">
            <v>27106</v>
          </cell>
          <cell r="C666" t="str">
            <v>НЕВЫДАВАТЬ</v>
          </cell>
          <cell r="D666" t="str">
            <v>В РОЗЫСКЕ</v>
          </cell>
          <cell r="E666"/>
          <cell r="F666"/>
          <cell r="G666" t="str">
            <v>Только под полную стоимость оборудования</v>
          </cell>
        </row>
        <row r="667">
          <cell r="A667" t="str">
            <v>Измаилов Эдгоржан Хамитович</v>
          </cell>
          <cell r="B667">
            <v>28078</v>
          </cell>
          <cell r="C667" t="str">
            <v>НЕВЫДАВАТЬ</v>
          </cell>
          <cell r="D667" t="str">
            <v>В РОЗЫСКЕ</v>
          </cell>
          <cell r="E667"/>
          <cell r="F667"/>
          <cell r="G667" t="str">
            <v>Только под полную стоимость оборудования</v>
          </cell>
        </row>
        <row r="668">
          <cell r="A668" t="str">
            <v>Икромов Динмухамед Мухидинович</v>
          </cell>
          <cell r="B668">
            <v>33404</v>
          </cell>
          <cell r="C668" t="str">
            <v>НЕВЫДАВАТЬ</v>
          </cell>
          <cell r="D668" t="str">
            <v>В РОЗЫСКЕ</v>
          </cell>
          <cell r="E668"/>
          <cell r="F668"/>
          <cell r="G668" t="str">
            <v>Только под полную стоимость оборудования</v>
          </cell>
        </row>
        <row r="669">
          <cell r="A669" t="str">
            <v>Илалова Анна Мирзамуровна</v>
          </cell>
          <cell r="B669">
            <v>21602</v>
          </cell>
          <cell r="C669" t="str">
            <v>НЕВЫДАВАТЬ</v>
          </cell>
          <cell r="D669" t="str">
            <v>В РОЗЫСКЕ</v>
          </cell>
          <cell r="E669"/>
          <cell r="F669"/>
          <cell r="G669" t="str">
            <v>Только под полную стоимость оборудования</v>
          </cell>
        </row>
        <row r="670">
          <cell r="A670" t="str">
            <v>Илимов Пархат Кадырович</v>
          </cell>
          <cell r="B670">
            <v>25054</v>
          </cell>
          <cell r="C670" t="str">
            <v>НЕВЫДАВАТЬ</v>
          </cell>
          <cell r="D670" t="str">
            <v>В РОЗЫСКЕ</v>
          </cell>
          <cell r="E670"/>
          <cell r="F670"/>
          <cell r="G670" t="str">
            <v>Только под полную стоимость оборудования</v>
          </cell>
        </row>
        <row r="671">
          <cell r="A671" t="str">
            <v>Ильичев Игорь Александрович</v>
          </cell>
          <cell r="B671">
            <v>29983</v>
          </cell>
          <cell r="C671" t="str">
            <v>НЕВЫДАВАТЬ</v>
          </cell>
          <cell r="D671" t="str">
            <v>В РОЗЫСКЕ</v>
          </cell>
          <cell r="E671"/>
          <cell r="F671"/>
          <cell r="G671" t="str">
            <v>Только под полную стоимость оборудования</v>
          </cell>
        </row>
        <row r="672">
          <cell r="A672" t="str">
            <v>Иманалиев Алымбек Махамадалиевич</v>
          </cell>
          <cell r="B672">
            <v>28091</v>
          </cell>
          <cell r="C672" t="str">
            <v>НЕВЫДАВАТЬ</v>
          </cell>
          <cell r="D672" t="str">
            <v>В РОЗЫСКЕ</v>
          </cell>
          <cell r="E672"/>
          <cell r="F672"/>
          <cell r="G672" t="str">
            <v>Только под полную стоимость оборудования</v>
          </cell>
        </row>
        <row r="673">
          <cell r="A673" t="str">
            <v>Иманалиев Сатыбалды Окушевич</v>
          </cell>
          <cell r="B673">
            <v>28824</v>
          </cell>
          <cell r="C673" t="str">
            <v>НЕВЫДАВАТЬ</v>
          </cell>
          <cell r="D673" t="str">
            <v>В РОЗЫСКЕ</v>
          </cell>
          <cell r="E673"/>
          <cell r="F673"/>
          <cell r="G673" t="str">
            <v>Только под полную стоимость оборудования</v>
          </cell>
        </row>
        <row r="674">
          <cell r="A674" t="str">
            <v>Иманалиев Эльдар Алмазович</v>
          </cell>
          <cell r="B674">
            <v>32418</v>
          </cell>
          <cell r="C674" t="str">
            <v>НЕВЫДАВАТЬ</v>
          </cell>
          <cell r="D674" t="str">
            <v>В РОЗЫСКЕ</v>
          </cell>
          <cell r="E674"/>
          <cell r="F674"/>
          <cell r="G674" t="str">
            <v>Только под полную стоимость оборудования</v>
          </cell>
        </row>
        <row r="675">
          <cell r="A675" t="str">
            <v>Иманкожоев Кулубек Дайырбаевич</v>
          </cell>
          <cell r="B675">
            <v>21480</v>
          </cell>
          <cell r="C675" t="str">
            <v>НЕВЫДАВАТЬ</v>
          </cell>
          <cell r="D675" t="str">
            <v>В РОЗЫСКЕ</v>
          </cell>
          <cell r="E675"/>
          <cell r="F675"/>
          <cell r="G675" t="str">
            <v>Только под полную стоимость оборудования</v>
          </cell>
        </row>
        <row r="676">
          <cell r="A676" t="str">
            <v xml:space="preserve">Имомдодоев Маджид </v>
          </cell>
          <cell r="B676">
            <v>18479</v>
          </cell>
          <cell r="C676" t="str">
            <v>НЕВЫДАВАТЬ</v>
          </cell>
          <cell r="D676" t="str">
            <v>В РОЗЫСКЕ</v>
          </cell>
          <cell r="E676"/>
          <cell r="F676"/>
          <cell r="G676" t="str">
            <v>Только под полную стоимость оборудования</v>
          </cell>
        </row>
        <row r="677">
          <cell r="A677" t="str">
            <v>Иргебаева Гульзенеп Куанымовна</v>
          </cell>
          <cell r="B677">
            <v>25622</v>
          </cell>
          <cell r="C677" t="str">
            <v>НЕВЫДАВАТЬ</v>
          </cell>
          <cell r="D677" t="str">
            <v>В РОЗЫСКЕ</v>
          </cell>
          <cell r="E677"/>
          <cell r="F677"/>
          <cell r="G677" t="str">
            <v>Только под полную стоимость оборудования</v>
          </cell>
        </row>
        <row r="678">
          <cell r="A678" t="str">
            <v>Иркебаев Алексей Алишерович</v>
          </cell>
          <cell r="B678">
            <v>34951</v>
          </cell>
          <cell r="C678" t="str">
            <v>НЕВЫДАВАТЬ</v>
          </cell>
          <cell r="D678" t="str">
            <v>В РОЗЫСКЕ</v>
          </cell>
          <cell r="E678"/>
          <cell r="F678"/>
          <cell r="G678" t="str">
            <v>Только под полную стоимость оборудования</v>
          </cell>
        </row>
        <row r="679">
          <cell r="A679" t="str">
            <v xml:space="preserve">Ирсаев Стамбек Кельдикеевич </v>
          </cell>
          <cell r="B679">
            <v>20941</v>
          </cell>
          <cell r="C679" t="str">
            <v>НЕВЫДАВАТЬ</v>
          </cell>
          <cell r="D679" t="str">
            <v>В РОЗЫСКЕ</v>
          </cell>
          <cell r="E679"/>
          <cell r="F679"/>
          <cell r="G679" t="str">
            <v>Только под полную стоимость оборудования</v>
          </cell>
        </row>
        <row r="680">
          <cell r="A680" t="str">
            <v xml:space="preserve">Исаев Александр Васильевич </v>
          </cell>
          <cell r="B680">
            <v>22986</v>
          </cell>
          <cell r="C680" t="str">
            <v>НЕВЫДАВАТЬ</v>
          </cell>
          <cell r="D680" t="str">
            <v>В РОЗЫСКЕ</v>
          </cell>
          <cell r="E680"/>
          <cell r="F680"/>
          <cell r="G680" t="str">
            <v>Только под полную стоимость оборудования</v>
          </cell>
        </row>
        <row r="681">
          <cell r="A681" t="str">
            <v xml:space="preserve">Исаев Эдуард Асангазиевич </v>
          </cell>
          <cell r="B681">
            <v>24711</v>
          </cell>
          <cell r="C681" t="str">
            <v>НЕВЫДАВАТЬ</v>
          </cell>
          <cell r="D681" t="str">
            <v>В РОЗЫСКЕ</v>
          </cell>
          <cell r="E681"/>
          <cell r="F681"/>
          <cell r="G681" t="str">
            <v>Только под полную стоимость оборудования</v>
          </cell>
        </row>
        <row r="682">
          <cell r="A682" t="str">
            <v>Исаевский Олег Анатолиевич</v>
          </cell>
          <cell r="B682">
            <v>26295</v>
          </cell>
          <cell r="C682" t="str">
            <v>НЕВЫДАВАТЬ</v>
          </cell>
          <cell r="D682" t="str">
            <v>В РОЗЫСКЕ</v>
          </cell>
          <cell r="E682"/>
          <cell r="F682"/>
          <cell r="G682" t="str">
            <v>Только под полную стоимость оборудования</v>
          </cell>
        </row>
        <row r="683">
          <cell r="A683" t="str">
            <v>Исакжанов Курманжан Эргешович</v>
          </cell>
          <cell r="B683">
            <v>25615</v>
          </cell>
          <cell r="C683" t="str">
            <v>НЕВЫДАВАТЬ</v>
          </cell>
          <cell r="D683" t="str">
            <v>В РОЗЫСКЕ</v>
          </cell>
          <cell r="E683"/>
          <cell r="F683"/>
          <cell r="G683" t="str">
            <v>Только под полную стоимость оборудования</v>
          </cell>
        </row>
        <row r="684">
          <cell r="A684" t="str">
            <v xml:space="preserve">Исаков Анарбек </v>
          </cell>
          <cell r="B684">
            <v>20220</v>
          </cell>
          <cell r="C684" t="str">
            <v>НЕВЫДАВАТЬ</v>
          </cell>
          <cell r="D684" t="str">
            <v>В РОЗЫСКЕ</v>
          </cell>
          <cell r="E684"/>
          <cell r="F684"/>
          <cell r="G684" t="str">
            <v>Только под полную стоимость оборудования</v>
          </cell>
        </row>
        <row r="685">
          <cell r="A685" t="str">
            <v>Исаков Анарбек Толокович</v>
          </cell>
          <cell r="B685">
            <v>23473</v>
          </cell>
          <cell r="C685" t="str">
            <v>НЕВЫДАВАТЬ</v>
          </cell>
          <cell r="D685" t="str">
            <v>В РОЗЫСКЕ</v>
          </cell>
          <cell r="E685"/>
          <cell r="F685"/>
          <cell r="G685" t="str">
            <v>Только под полную стоимость оборудования</v>
          </cell>
        </row>
        <row r="686">
          <cell r="A686" t="str">
            <v>Исаков Аъзам Иброгимович</v>
          </cell>
          <cell r="B686">
            <v>28091</v>
          </cell>
          <cell r="C686" t="str">
            <v>НЕВЫДАВАТЬ</v>
          </cell>
          <cell r="D686" t="str">
            <v>В РОЗЫСКЕ</v>
          </cell>
          <cell r="E686"/>
          <cell r="F686"/>
          <cell r="G686" t="str">
            <v>Только под полную стоимость оборудования</v>
          </cell>
        </row>
        <row r="687">
          <cell r="A687" t="str">
            <v>Исаченко Вячеслав Анатольевич</v>
          </cell>
          <cell r="B687">
            <v>26372</v>
          </cell>
          <cell r="C687" t="str">
            <v>НЕВЫДАВАТЬ</v>
          </cell>
          <cell r="D687" t="str">
            <v>В РОЗЫСКЕ</v>
          </cell>
          <cell r="E687"/>
          <cell r="F687"/>
          <cell r="G687" t="str">
            <v>Только под полную стоимость оборудования</v>
          </cell>
        </row>
        <row r="688">
          <cell r="A688" t="str">
            <v>Исмагилов Владимир Ильдусович</v>
          </cell>
          <cell r="B688">
            <v>21004</v>
          </cell>
          <cell r="C688" t="str">
            <v>НЕВЫДАВАТЬ</v>
          </cell>
          <cell r="D688" t="str">
            <v>В РОЗЫСКЕ</v>
          </cell>
          <cell r="E688"/>
          <cell r="F688"/>
          <cell r="G688" t="str">
            <v>Только под полную стоимость оборудования</v>
          </cell>
        </row>
        <row r="689">
          <cell r="A689" t="str">
            <v>Исмаилов Айбек Адаханович</v>
          </cell>
          <cell r="B689">
            <v>30174</v>
          </cell>
          <cell r="C689" t="str">
            <v>НЕВЫДАВАТЬ</v>
          </cell>
          <cell r="D689" t="str">
            <v>В РОЗЫСКЕ</v>
          </cell>
          <cell r="E689"/>
          <cell r="F689"/>
          <cell r="G689" t="str">
            <v>Только под полную стоимость оборудования</v>
          </cell>
        </row>
        <row r="690">
          <cell r="A690" t="str">
            <v xml:space="preserve">Исмаилов Бактыбек Танаевич </v>
          </cell>
          <cell r="B690">
            <v>25464</v>
          </cell>
          <cell r="C690" t="str">
            <v>НЕВЫДАВАТЬ</v>
          </cell>
          <cell r="D690" t="str">
            <v>В РОЗЫСКЕ</v>
          </cell>
          <cell r="E690"/>
          <cell r="F690"/>
          <cell r="G690" t="str">
            <v>Только под полную стоимость оборудования</v>
          </cell>
        </row>
        <row r="691">
          <cell r="A691" t="str">
            <v xml:space="preserve">Исмаилов Дамирбек Манасович </v>
          </cell>
          <cell r="B691">
            <v>29166</v>
          </cell>
          <cell r="C691" t="str">
            <v>НЕВЫДАВАТЬ</v>
          </cell>
          <cell r="D691" t="str">
            <v>В РОЗЫСКЕ</v>
          </cell>
          <cell r="E691"/>
          <cell r="F691"/>
          <cell r="G691" t="str">
            <v>Только под полную стоимость оборудования</v>
          </cell>
        </row>
        <row r="692">
          <cell r="A692" t="str">
            <v>Исмаилов Мукан Медетович</v>
          </cell>
          <cell r="B692">
            <v>24404</v>
          </cell>
          <cell r="C692" t="str">
            <v>НЕВЫДАВАТЬ</v>
          </cell>
          <cell r="D692" t="str">
            <v>В РОЗЫСКЕ</v>
          </cell>
          <cell r="E692"/>
          <cell r="F692"/>
          <cell r="G692" t="str">
            <v>Только под полную стоимость оборудования</v>
          </cell>
        </row>
        <row r="693">
          <cell r="A693" t="str">
            <v xml:space="preserve">Исмаилов Рашид Абдулхакович </v>
          </cell>
          <cell r="B693">
            <v>19863</v>
          </cell>
          <cell r="C693" t="str">
            <v>НЕВЫДАВАТЬ</v>
          </cell>
          <cell r="D693" t="str">
            <v>В РОЗЫСКЕ</v>
          </cell>
          <cell r="E693"/>
          <cell r="F693"/>
          <cell r="G693" t="str">
            <v>Только под полную стоимость оборудования</v>
          </cell>
        </row>
        <row r="694">
          <cell r="A694" t="str">
            <v>Исматов Зафаржон Садуллоевич</v>
          </cell>
          <cell r="B694">
            <v>27878</v>
          </cell>
          <cell r="C694" t="str">
            <v>НЕВЫДАВАТЬ</v>
          </cell>
          <cell r="D694" t="str">
            <v>В РОЗЫСКЕ</v>
          </cell>
          <cell r="E694"/>
          <cell r="F694"/>
          <cell r="G694" t="str">
            <v>Только под полную стоимость оборудования</v>
          </cell>
        </row>
        <row r="695">
          <cell r="A695" t="str">
            <v>Исмоилов Адихамжан Абдуллаевич</v>
          </cell>
          <cell r="B695">
            <v>26947</v>
          </cell>
          <cell r="C695" t="str">
            <v>НЕВЫДАВАТЬ</v>
          </cell>
          <cell r="D695" t="str">
            <v>В РОЗЫСКЕ</v>
          </cell>
          <cell r="E695"/>
          <cell r="F695"/>
          <cell r="G695" t="str">
            <v>Только под полную стоимость оборудования</v>
          </cell>
        </row>
        <row r="696">
          <cell r="A696" t="str">
            <v xml:space="preserve">Исраилов Абдурахман Абдугапарович </v>
          </cell>
          <cell r="B696">
            <v>23586</v>
          </cell>
          <cell r="C696" t="str">
            <v>НЕВЫДАВАТЬ</v>
          </cell>
          <cell r="D696" t="str">
            <v>В РОЗЫСКЕ</v>
          </cell>
          <cell r="E696"/>
          <cell r="F696"/>
          <cell r="G696" t="str">
            <v>Только под полную стоимость оборудования</v>
          </cell>
        </row>
        <row r="697">
          <cell r="A697" t="str">
            <v>Исхаков Самат Божеевич</v>
          </cell>
          <cell r="B697">
            <v>17402</v>
          </cell>
          <cell r="C697" t="str">
            <v>НЕВЫДАВАТЬ</v>
          </cell>
          <cell r="D697" t="str">
            <v>В РОЗЫСКЕ</v>
          </cell>
          <cell r="E697"/>
          <cell r="F697"/>
          <cell r="G697" t="str">
            <v>Только под полную стоимость оборудования</v>
          </cell>
        </row>
        <row r="698">
          <cell r="A698" t="str">
            <v>Итимбаев Замир Бейшенбекович.</v>
          </cell>
          <cell r="B698">
            <v>29096</v>
          </cell>
          <cell r="C698" t="str">
            <v>НЕВЫДАВАТЬ</v>
          </cell>
          <cell r="D698" t="str">
            <v>В РОЗЫСКЕ</v>
          </cell>
          <cell r="E698"/>
          <cell r="F698"/>
          <cell r="G698" t="str">
            <v>Только под полную стоимость оборудования</v>
          </cell>
        </row>
        <row r="699">
          <cell r="A699" t="str">
            <v>Ицков Александр Сергеевич</v>
          </cell>
          <cell r="B699">
            <v>27333</v>
          </cell>
          <cell r="C699" t="str">
            <v>НЕВЫДАВАТЬ</v>
          </cell>
          <cell r="D699" t="str">
            <v>В РОЗЫСКЕ</v>
          </cell>
          <cell r="E699"/>
          <cell r="F699"/>
          <cell r="G699" t="str">
            <v>Только под полную стоимость оборудования</v>
          </cell>
        </row>
        <row r="700">
          <cell r="A700" t="str">
            <v xml:space="preserve">Ишеналиев Жыргалбек </v>
          </cell>
          <cell r="B700">
            <v>18854</v>
          </cell>
          <cell r="C700" t="str">
            <v>НЕВЫДАВАТЬ</v>
          </cell>
          <cell r="D700" t="str">
            <v>В РОЗЫСКЕ</v>
          </cell>
          <cell r="E700"/>
          <cell r="F700"/>
          <cell r="G700" t="str">
            <v>Только под полную стоимость оборудования</v>
          </cell>
        </row>
        <row r="701">
          <cell r="A701" t="str">
            <v xml:space="preserve">Кабиров Рашит Самигулович </v>
          </cell>
          <cell r="B701">
            <v>19486</v>
          </cell>
          <cell r="C701" t="str">
            <v>НЕВЫДАВАТЬ</v>
          </cell>
          <cell r="D701" t="str">
            <v>В РОЗЫСКЕ</v>
          </cell>
          <cell r="E701"/>
          <cell r="F701"/>
          <cell r="G701" t="str">
            <v>Только под полную стоимость оборудования</v>
          </cell>
        </row>
        <row r="702">
          <cell r="A702" t="str">
            <v>Кадыров Азизбек Рашитбекович</v>
          </cell>
          <cell r="B702">
            <v>31766</v>
          </cell>
          <cell r="C702" t="str">
            <v>НЕВЫДАВАТЬ</v>
          </cell>
          <cell r="D702" t="str">
            <v>В РОЗЫСКЕ</v>
          </cell>
          <cell r="E702"/>
          <cell r="F702"/>
          <cell r="G702" t="str">
            <v>Только под полную стоимость оборудования</v>
          </cell>
        </row>
        <row r="703">
          <cell r="A703" t="str">
            <v>Кадыров Алтынбек Турусбекович</v>
          </cell>
          <cell r="B703">
            <v>23755</v>
          </cell>
          <cell r="C703" t="str">
            <v>НЕВЫДАВАТЬ</v>
          </cell>
          <cell r="D703" t="str">
            <v>В РОЗЫСКЕ</v>
          </cell>
          <cell r="E703"/>
          <cell r="F703"/>
          <cell r="G703" t="str">
            <v>Только под полную стоимость оборудования</v>
          </cell>
        </row>
        <row r="704">
          <cell r="A704" t="str">
            <v>Кадыров Замирбек Савхозбекович</v>
          </cell>
          <cell r="B704">
            <v>28524</v>
          </cell>
          <cell r="C704" t="str">
            <v>НЕВЫДАВАТЬ</v>
          </cell>
          <cell r="D704" t="str">
            <v>В РОЗЫСКЕ</v>
          </cell>
          <cell r="E704"/>
          <cell r="F704"/>
          <cell r="G704" t="str">
            <v>Только под полную стоимость оборудования</v>
          </cell>
        </row>
        <row r="705">
          <cell r="A705" t="str">
            <v>Кадыров Хамражон Хабибович</v>
          </cell>
          <cell r="B705">
            <v>28191</v>
          </cell>
          <cell r="C705" t="str">
            <v>НЕВЫДАВАТЬ</v>
          </cell>
          <cell r="D705" t="str">
            <v>В РОЗЫСКЕ</v>
          </cell>
          <cell r="E705"/>
          <cell r="F705"/>
          <cell r="G705" t="str">
            <v>Только под полную стоимость оборудования</v>
          </cell>
        </row>
        <row r="706">
          <cell r="A706" t="str">
            <v>Казеннов Константин Геннадиевич</v>
          </cell>
          <cell r="B706">
            <v>33792</v>
          </cell>
          <cell r="C706" t="str">
            <v>НЕВЫДАВАТЬ</v>
          </cell>
          <cell r="D706" t="str">
            <v>В РОЗЫСКЕ</v>
          </cell>
          <cell r="E706"/>
          <cell r="F706"/>
          <cell r="G706" t="str">
            <v>Только под полную стоимость оборудования</v>
          </cell>
        </row>
        <row r="707">
          <cell r="A707" t="str">
            <v>Каландаров Азамжан Шаробидинович</v>
          </cell>
          <cell r="B707">
            <v>22285</v>
          </cell>
          <cell r="C707" t="str">
            <v>НЕВЫДАВАТЬ</v>
          </cell>
          <cell r="D707" t="str">
            <v>В РОЗЫСКЕ</v>
          </cell>
          <cell r="E707"/>
          <cell r="F707"/>
          <cell r="G707" t="str">
            <v>Только под полную стоимость оборудования</v>
          </cell>
        </row>
        <row r="708">
          <cell r="A708" t="str">
            <v>Калбаев Бактыбек Орозалиевич</v>
          </cell>
          <cell r="B708">
            <v>29482</v>
          </cell>
          <cell r="C708" t="str">
            <v>НЕВЫДАВАТЬ</v>
          </cell>
          <cell r="D708" t="str">
            <v>В РОЗЫСКЕ</v>
          </cell>
          <cell r="E708"/>
          <cell r="F708"/>
          <cell r="G708" t="str">
            <v>Только под полную стоимость оборудования</v>
          </cell>
        </row>
        <row r="709">
          <cell r="A709" t="str">
            <v>Калиев Рыспек Алмазович</v>
          </cell>
          <cell r="B709" t="str">
            <v>03 11 1970</v>
          </cell>
          <cell r="C709" t="str">
            <v>НЕВЫДАВАТЬ</v>
          </cell>
          <cell r="D709" t="str">
            <v>В РОЗЫСКЕ</v>
          </cell>
          <cell r="E709"/>
          <cell r="F709"/>
          <cell r="G709" t="str">
            <v>Только под полную стоимость оборудования</v>
          </cell>
        </row>
        <row r="710">
          <cell r="A710" t="str">
            <v>Калманбетов Самат Шааболотович</v>
          </cell>
          <cell r="B710">
            <v>31648</v>
          </cell>
          <cell r="C710" t="str">
            <v>НЕВЫДАВАТЬ</v>
          </cell>
          <cell r="D710" t="str">
            <v>В РОЗЫСКЕ</v>
          </cell>
          <cell r="E710"/>
          <cell r="F710"/>
          <cell r="G710" t="str">
            <v>Только под полную стоимость оборудования</v>
          </cell>
        </row>
        <row r="711">
          <cell r="A711" t="str">
            <v xml:space="preserve">Калназаров Адылжан </v>
          </cell>
          <cell r="B711">
            <v>1952</v>
          </cell>
          <cell r="C711" t="str">
            <v>НЕВЫДАВАТЬ</v>
          </cell>
          <cell r="D711" t="str">
            <v>В РОЗЫСКЕ</v>
          </cell>
          <cell r="E711"/>
          <cell r="F711"/>
          <cell r="G711" t="str">
            <v>Только под полную стоимость оборудования</v>
          </cell>
        </row>
        <row r="712">
          <cell r="A712" t="str">
            <v>Калчаев Максат Ынтымакович</v>
          </cell>
          <cell r="B712">
            <v>28898</v>
          </cell>
          <cell r="C712" t="str">
            <v>НЕВЫДАВАТЬ</v>
          </cell>
          <cell r="D712" t="str">
            <v>В РОЗЫСКЕ</v>
          </cell>
          <cell r="E712"/>
          <cell r="F712"/>
          <cell r="G712" t="str">
            <v>Только под полную стоимость оборудования</v>
          </cell>
        </row>
        <row r="713">
          <cell r="A713" t="str">
            <v>Камалдинов Джамил Талгатович</v>
          </cell>
          <cell r="B713">
            <v>21570</v>
          </cell>
          <cell r="C713" t="str">
            <v>НЕВЫДАВАТЬ</v>
          </cell>
          <cell r="D713" t="str">
            <v>В РОЗЫСКЕ</v>
          </cell>
          <cell r="E713"/>
          <cell r="F713"/>
          <cell r="G713" t="str">
            <v>Только под полную стоимость оборудования</v>
          </cell>
        </row>
        <row r="714">
          <cell r="A714" t="str">
            <v xml:space="preserve">Камалдинов Мукумжан Жамалдинович </v>
          </cell>
          <cell r="B714">
            <v>27233</v>
          </cell>
          <cell r="C714" t="str">
            <v>НЕВЫДАВАТЬ</v>
          </cell>
          <cell r="D714" t="str">
            <v>В РОЗЫСКЕ</v>
          </cell>
          <cell r="E714"/>
          <cell r="F714"/>
          <cell r="G714" t="str">
            <v>Только под полную стоимость оборудования</v>
          </cell>
        </row>
        <row r="715">
          <cell r="A715" t="str">
            <v>Камалиддинов Зухридин Исомидиногли</v>
          </cell>
          <cell r="B715">
            <v>34285</v>
          </cell>
          <cell r="C715" t="str">
            <v>НЕВЫДАВАТЬ</v>
          </cell>
          <cell r="D715" t="str">
            <v>В РОЗЫСКЕ</v>
          </cell>
          <cell r="E715"/>
          <cell r="F715"/>
          <cell r="G715" t="str">
            <v>Только под полную стоимость оборудования</v>
          </cell>
        </row>
        <row r="716">
          <cell r="A716" t="str">
            <v>Камалов Марат Давлетжанович</v>
          </cell>
          <cell r="B716">
            <v>22700</v>
          </cell>
          <cell r="C716" t="str">
            <v>НЕВЫДАВАТЬ</v>
          </cell>
          <cell r="D716" t="str">
            <v>В РОЗЫСКЕ</v>
          </cell>
          <cell r="E716"/>
          <cell r="F716"/>
          <cell r="G716" t="str">
            <v>Только под полную стоимость оборудования</v>
          </cell>
        </row>
        <row r="717">
          <cell r="A717" t="str">
            <v>Камалов Улукбек Шавкатович</v>
          </cell>
          <cell r="B717">
            <v>29579</v>
          </cell>
          <cell r="C717" t="str">
            <v>НЕВЫДАВАТЬ</v>
          </cell>
          <cell r="D717" t="str">
            <v>В РОЗЫСКЕ</v>
          </cell>
          <cell r="E717"/>
          <cell r="F717"/>
          <cell r="G717" t="str">
            <v>Только под полную стоимость оборудования</v>
          </cell>
        </row>
        <row r="718">
          <cell r="A718" t="str">
            <v>Камбаров Акынбек Уматолиевич</v>
          </cell>
          <cell r="B718">
            <v>24963</v>
          </cell>
          <cell r="C718" t="str">
            <v>НЕВЫДАВАТЬ</v>
          </cell>
          <cell r="D718" t="str">
            <v>В РОЗЫСКЕ</v>
          </cell>
          <cell r="E718"/>
          <cell r="F718"/>
          <cell r="G718" t="str">
            <v>Только под полную стоимость оборудования</v>
          </cell>
        </row>
        <row r="719">
          <cell r="A719" t="str">
            <v>Камбаров Капар Айдарович</v>
          </cell>
          <cell r="B719">
            <v>23076</v>
          </cell>
          <cell r="C719" t="str">
            <v>НЕВЫДАВАТЬ</v>
          </cell>
          <cell r="D719" t="str">
            <v>В РОЗЫСКЕ</v>
          </cell>
          <cell r="E719"/>
          <cell r="F719"/>
          <cell r="G719" t="str">
            <v>Только под полную стоимость оборудования</v>
          </cell>
        </row>
        <row r="720">
          <cell r="A720" t="str">
            <v>Каменский Павел Вицентович</v>
          </cell>
          <cell r="B720">
            <v>27256</v>
          </cell>
          <cell r="C720" t="str">
            <v>НЕВЫДАВАТЬ</v>
          </cell>
          <cell r="D720" t="str">
            <v>В РОЗЫСКЕ</v>
          </cell>
          <cell r="E720"/>
          <cell r="F720"/>
          <cell r="G720" t="str">
            <v>Только под полную стоимость оборудования</v>
          </cell>
        </row>
        <row r="721">
          <cell r="A721" t="str">
            <v>Камилов Дилмурат Сабыржанович</v>
          </cell>
          <cell r="B721">
            <v>25417</v>
          </cell>
          <cell r="C721" t="str">
            <v>НЕВЫДАВАТЬ</v>
          </cell>
          <cell r="D721" t="str">
            <v>В РОЗЫСКЕ</v>
          </cell>
          <cell r="E721"/>
          <cell r="F721"/>
          <cell r="G721" t="str">
            <v>Только под полную стоимость оборудования</v>
          </cell>
        </row>
        <row r="722">
          <cell r="A722" t="str">
            <v xml:space="preserve">Камчиева Салтанат Шамшидиновна </v>
          </cell>
          <cell r="B722">
            <v>30642</v>
          </cell>
          <cell r="C722" t="str">
            <v>НЕВЫДАВАТЬ</v>
          </cell>
          <cell r="D722" t="str">
            <v>В РОЗЫСКЕ</v>
          </cell>
          <cell r="E722"/>
          <cell r="F722"/>
          <cell r="G722" t="str">
            <v>Только под полную стоимость оборудования</v>
          </cell>
        </row>
        <row r="723">
          <cell r="A723" t="str">
            <v xml:space="preserve">Камшилин Михаил Викторович </v>
          </cell>
          <cell r="B723">
            <v>21900</v>
          </cell>
          <cell r="C723" t="str">
            <v>НЕВЫДАВАТЬ</v>
          </cell>
          <cell r="D723" t="str">
            <v>В РОЗЫСКЕ</v>
          </cell>
          <cell r="E723"/>
          <cell r="F723"/>
          <cell r="G723" t="str">
            <v>Только под полную стоимость оборудования</v>
          </cell>
        </row>
        <row r="724">
          <cell r="A724" t="str">
            <v>Канапияев Таалайбек Абдраимович</v>
          </cell>
          <cell r="B724">
            <v>23347</v>
          </cell>
          <cell r="C724" t="str">
            <v>НЕВЫДАВАТЬ</v>
          </cell>
          <cell r="D724" t="str">
            <v>В РОЗЫСКЕ</v>
          </cell>
          <cell r="E724"/>
          <cell r="F724"/>
          <cell r="G724" t="str">
            <v>Только под полную стоимость оборудования</v>
          </cell>
        </row>
        <row r="725">
          <cell r="A725" t="str">
            <v>Капицев Владимир Александрович</v>
          </cell>
          <cell r="B725">
            <v>22258</v>
          </cell>
          <cell r="C725" t="str">
            <v>НЕВЫДАВАТЬ</v>
          </cell>
          <cell r="D725" t="str">
            <v>В РОЗЫСКЕ</v>
          </cell>
          <cell r="E725"/>
          <cell r="F725"/>
          <cell r="G725" t="str">
            <v>Только под полную стоимость оборудования</v>
          </cell>
        </row>
        <row r="726">
          <cell r="A726" t="str">
            <v>Карабаев Нурхан Орунбасарович</v>
          </cell>
          <cell r="B726">
            <v>22195</v>
          </cell>
          <cell r="C726" t="str">
            <v>НЕВЫДАВАТЬ</v>
          </cell>
          <cell r="D726" t="str">
            <v>В РОЗЫСКЕ</v>
          </cell>
          <cell r="E726"/>
          <cell r="F726"/>
          <cell r="G726" t="str">
            <v>Только под полную стоимость оборудования</v>
          </cell>
        </row>
        <row r="727">
          <cell r="A727" t="str">
            <v>Карабаев Улугбек Муталипович</v>
          </cell>
          <cell r="B727">
            <v>24034</v>
          </cell>
          <cell r="C727" t="str">
            <v>НЕВЫДАВАТЬ</v>
          </cell>
          <cell r="D727" t="str">
            <v>В РОЗЫСКЕ</v>
          </cell>
          <cell r="E727"/>
          <cell r="F727"/>
          <cell r="G727" t="str">
            <v>Только под полную стоимость оборудования</v>
          </cell>
        </row>
        <row r="728">
          <cell r="A728" t="str">
            <v>Карабаева Елена Токтосуновна</v>
          </cell>
          <cell r="B728">
            <v>28538</v>
          </cell>
          <cell r="C728" t="str">
            <v>НЕВЫДАВАТЬ</v>
          </cell>
          <cell r="D728" t="str">
            <v>В РОЗЫСКЕ</v>
          </cell>
          <cell r="E728"/>
          <cell r="F728"/>
          <cell r="G728" t="str">
            <v>Только под полную стоимость оборудования</v>
          </cell>
        </row>
        <row r="729">
          <cell r="A729" t="str">
            <v xml:space="preserve">Караталов Самаган </v>
          </cell>
          <cell r="B729">
            <v>23613</v>
          </cell>
          <cell r="C729" t="str">
            <v>НЕВЫДАВАТЬ</v>
          </cell>
          <cell r="D729" t="str">
            <v>В РОЗЫСКЕ</v>
          </cell>
          <cell r="E729"/>
          <cell r="F729"/>
          <cell r="G729" t="str">
            <v>Только под полную стоимость оборудования</v>
          </cell>
        </row>
        <row r="730">
          <cell r="A730" t="str">
            <v>Карауш Иван Гаврилович</v>
          </cell>
          <cell r="B730">
            <v>20873</v>
          </cell>
          <cell r="C730" t="str">
            <v>НЕВЫДАВАТЬ</v>
          </cell>
          <cell r="D730" t="str">
            <v>В РОЗЫСКЕ</v>
          </cell>
          <cell r="E730"/>
          <cell r="F730"/>
          <cell r="G730" t="str">
            <v>Только под полную стоимость оборудования</v>
          </cell>
        </row>
        <row r="731">
          <cell r="A731" t="str">
            <v>Карибжанов Рустам Сакенович</v>
          </cell>
          <cell r="B731">
            <v>26620</v>
          </cell>
          <cell r="C731" t="str">
            <v>НЕВЫДАВАТЬ</v>
          </cell>
          <cell r="D731" t="str">
            <v>В РОЗЫСКЕ</v>
          </cell>
          <cell r="E731"/>
          <cell r="F731"/>
          <cell r="G731" t="str">
            <v>Только под полную стоимость оборудования</v>
          </cell>
        </row>
        <row r="732">
          <cell r="A732" t="str">
            <v>Кариев Алмаз Алыевич</v>
          </cell>
          <cell r="B732">
            <v>25018</v>
          </cell>
          <cell r="C732" t="str">
            <v>НЕВЫДАВАТЬ</v>
          </cell>
          <cell r="D732" t="str">
            <v>В РОЗЫСКЕ</v>
          </cell>
          <cell r="E732"/>
          <cell r="F732"/>
          <cell r="G732" t="str">
            <v>Только под полную стоимость оборудования</v>
          </cell>
        </row>
        <row r="733">
          <cell r="A733" t="str">
            <v>Каримов Ашыр Абдуллаевич</v>
          </cell>
          <cell r="B733">
            <v>26850</v>
          </cell>
          <cell r="C733" t="str">
            <v>НЕВЫДАВАТЬ</v>
          </cell>
          <cell r="D733" t="str">
            <v>В РОЗЫСКЕ</v>
          </cell>
          <cell r="E733"/>
          <cell r="F733"/>
          <cell r="G733" t="str">
            <v>Только под полную стоимость оборудования</v>
          </cell>
        </row>
        <row r="734">
          <cell r="A734" t="str">
            <v>Каримов Курбангали Габдуллаевич</v>
          </cell>
          <cell r="B734">
            <v>22094</v>
          </cell>
          <cell r="C734" t="str">
            <v>НЕВЫДАВАТЬ</v>
          </cell>
          <cell r="D734" t="str">
            <v>В РОЗЫСКЕ</v>
          </cell>
          <cell r="E734"/>
          <cell r="F734"/>
          <cell r="G734" t="str">
            <v>Только под полную стоимость оборудования</v>
          </cell>
        </row>
        <row r="735">
          <cell r="A735" t="str">
            <v xml:space="preserve">Каримов Марс Дамирович </v>
          </cell>
          <cell r="B735">
            <v>30166</v>
          </cell>
          <cell r="C735" t="str">
            <v>НЕВЫДАВАТЬ</v>
          </cell>
          <cell r="D735" t="str">
            <v>В РОЗЫСКЕ</v>
          </cell>
          <cell r="E735"/>
          <cell r="F735"/>
          <cell r="G735" t="str">
            <v>Только под полную стоимость оборудования</v>
          </cell>
        </row>
        <row r="736">
          <cell r="A736" t="str">
            <v>Каримов Фарман Камбарович</v>
          </cell>
          <cell r="B736">
            <v>21609</v>
          </cell>
          <cell r="C736" t="str">
            <v>НЕВЫДАВАТЬ</v>
          </cell>
          <cell r="D736" t="str">
            <v>В РОЗЫСКЕ</v>
          </cell>
          <cell r="E736"/>
          <cell r="F736"/>
          <cell r="G736" t="str">
            <v>Только под полную стоимость оборудования</v>
          </cell>
        </row>
        <row r="737">
          <cell r="A737" t="str">
            <v xml:space="preserve">Карпачев Юрий Александрович </v>
          </cell>
          <cell r="B737">
            <v>24419</v>
          </cell>
          <cell r="C737" t="str">
            <v>НЕВЫДАВАТЬ</v>
          </cell>
          <cell r="D737" t="str">
            <v>В РОЗЫСКЕ</v>
          </cell>
          <cell r="E737"/>
          <cell r="F737"/>
          <cell r="G737" t="str">
            <v>Только под полную стоимость оборудования</v>
          </cell>
        </row>
        <row r="738">
          <cell r="A738" t="str">
            <v>Карпов Виталий Валерьевич</v>
          </cell>
          <cell r="B738">
            <v>26388</v>
          </cell>
          <cell r="C738" t="str">
            <v>НЕВЫДАВАТЬ</v>
          </cell>
          <cell r="D738" t="str">
            <v>В РОЗЫСКЕ</v>
          </cell>
          <cell r="E738"/>
          <cell r="F738"/>
          <cell r="G738" t="str">
            <v>Только под полную стоимость оборудования</v>
          </cell>
        </row>
        <row r="739">
          <cell r="A739" t="str">
            <v>Карымшаков Медербек Карымшакович</v>
          </cell>
          <cell r="B739">
            <v>22391</v>
          </cell>
          <cell r="C739" t="str">
            <v>НЕВЫДАВАТЬ</v>
          </cell>
          <cell r="D739" t="str">
            <v>В РОЗЫСКЕ</v>
          </cell>
          <cell r="E739"/>
          <cell r="F739"/>
          <cell r="G739" t="str">
            <v>Только под полную стоимость оборудования</v>
          </cell>
        </row>
        <row r="740">
          <cell r="A740" t="str">
            <v>Касымбаев Бахтияр Курмангазиевич</v>
          </cell>
          <cell r="B740">
            <v>31181</v>
          </cell>
          <cell r="C740" t="str">
            <v>НЕВЫДАВАТЬ</v>
          </cell>
          <cell r="D740" t="str">
            <v>В РОЗЫСКЕ</v>
          </cell>
          <cell r="E740"/>
          <cell r="F740"/>
          <cell r="G740" t="str">
            <v>Только под полную стоимость оборудования</v>
          </cell>
        </row>
        <row r="741">
          <cell r="A741" t="str">
            <v xml:space="preserve">Касымов Алишер Халилович </v>
          </cell>
          <cell r="B741">
            <v>28014</v>
          </cell>
          <cell r="C741" t="str">
            <v>НЕВЫДАВАТЬ</v>
          </cell>
          <cell r="D741" t="str">
            <v>В РОЗЫСКЕ</v>
          </cell>
          <cell r="E741"/>
          <cell r="F741"/>
          <cell r="G741" t="str">
            <v>Только под полную стоимость оборудования</v>
          </cell>
        </row>
        <row r="742">
          <cell r="A742" t="str">
            <v>Кахоров Хуршед Каромотуллоевич</v>
          </cell>
          <cell r="B742">
            <v>28682</v>
          </cell>
          <cell r="C742" t="str">
            <v>НЕВЫДАВАТЬ</v>
          </cell>
          <cell r="D742" t="str">
            <v>В РОЗЫСКЕ</v>
          </cell>
          <cell r="E742"/>
          <cell r="F742"/>
          <cell r="G742" t="str">
            <v>Только под полную стоимость оборудования</v>
          </cell>
        </row>
        <row r="743">
          <cell r="A743" t="str">
            <v>Кенешбеков Чынгыз Анарбекович</v>
          </cell>
          <cell r="B743">
            <v>29261</v>
          </cell>
          <cell r="C743" t="str">
            <v>НЕВЫДАВАТЬ</v>
          </cell>
          <cell r="D743" t="str">
            <v>В РОЗЫСКЕ</v>
          </cell>
          <cell r="E743"/>
          <cell r="F743"/>
          <cell r="G743" t="str">
            <v>Только под полную стоимость оборудования</v>
          </cell>
        </row>
        <row r="744">
          <cell r="A744" t="str">
            <v>Кибирев Игорь Владимирович</v>
          </cell>
          <cell r="B744">
            <v>25581</v>
          </cell>
          <cell r="C744" t="str">
            <v>НЕВЫДАВАТЬ</v>
          </cell>
          <cell r="D744" t="str">
            <v>В РОЗЫСКЕ</v>
          </cell>
          <cell r="E744"/>
          <cell r="F744"/>
          <cell r="G744" t="str">
            <v>Только под полную стоимость оборудования</v>
          </cell>
        </row>
        <row r="745">
          <cell r="A745" t="str">
            <v>Ким Алексей Юрьевич</v>
          </cell>
          <cell r="B745">
            <v>26303</v>
          </cell>
          <cell r="C745" t="str">
            <v>НЕВЫДАВАТЬ</v>
          </cell>
          <cell r="D745" t="str">
            <v>В РОЗЫСКЕ</v>
          </cell>
          <cell r="E745"/>
          <cell r="F745"/>
          <cell r="G745" t="str">
            <v>Только под полную стоимость оборудования</v>
          </cell>
        </row>
        <row r="746">
          <cell r="A746" t="str">
            <v>Ким Эрик Федорович</v>
          </cell>
          <cell r="B746">
            <v>20748</v>
          </cell>
          <cell r="C746" t="str">
            <v>НЕВЫДАВАТЬ</v>
          </cell>
          <cell r="D746" t="str">
            <v>В РОЗЫСКЕ</v>
          </cell>
          <cell r="E746"/>
          <cell r="F746"/>
          <cell r="G746" t="str">
            <v>Только под полную стоимость оборудования</v>
          </cell>
        </row>
        <row r="747">
          <cell r="A747" t="str">
            <v>Кимсанов Исмоил Усманович</v>
          </cell>
          <cell r="B747">
            <v>22876</v>
          </cell>
          <cell r="C747" t="str">
            <v>НЕВЫДАВАТЬ</v>
          </cell>
          <cell r="D747" t="str">
            <v>В РОЗЫСКЕ</v>
          </cell>
          <cell r="E747"/>
          <cell r="F747"/>
          <cell r="G747" t="str">
            <v>Только под полную стоимость оборудования</v>
          </cell>
        </row>
        <row r="748">
          <cell r="A748" t="str">
            <v>Кириченко Наталья Петровна</v>
          </cell>
          <cell r="B748">
            <v>21460</v>
          </cell>
          <cell r="C748" t="str">
            <v>НЕВЫДАВАТЬ</v>
          </cell>
          <cell r="D748" t="str">
            <v>В РОЗЫСКЕ</v>
          </cell>
          <cell r="E748"/>
          <cell r="F748"/>
          <cell r="G748" t="str">
            <v>Только под полную стоимость оборудования</v>
          </cell>
        </row>
        <row r="749">
          <cell r="A749" t="str">
            <v>Кирьянов Василий Викторович</v>
          </cell>
          <cell r="B749">
            <v>23173</v>
          </cell>
          <cell r="C749" t="str">
            <v>НЕВЫДАВАТЬ</v>
          </cell>
          <cell r="D749" t="str">
            <v>В РОЗЫСКЕ</v>
          </cell>
          <cell r="E749"/>
          <cell r="F749"/>
          <cell r="G749" t="str">
            <v>Только под полную стоимость оборудования</v>
          </cell>
        </row>
        <row r="750">
          <cell r="A750" t="str">
            <v>Клименко Евгений Сергеевич</v>
          </cell>
          <cell r="B750" t="str">
            <v>11.09.1982.</v>
          </cell>
          <cell r="C750" t="str">
            <v>НЕВЫДАВАТЬ</v>
          </cell>
          <cell r="D750" t="str">
            <v>В РОЗЫСКЕ</v>
          </cell>
          <cell r="E750"/>
          <cell r="F750"/>
          <cell r="G750" t="str">
            <v>Только под полную стоимость оборудования</v>
          </cell>
        </row>
        <row r="751">
          <cell r="A751" t="str">
            <v>Климов Валерий Игнатович</v>
          </cell>
          <cell r="B751">
            <v>22752</v>
          </cell>
          <cell r="C751" t="str">
            <v>НЕВЫДАВАТЬ</v>
          </cell>
          <cell r="D751" t="str">
            <v>В РОЗЫСКЕ</v>
          </cell>
          <cell r="E751"/>
          <cell r="F751"/>
          <cell r="G751" t="str">
            <v>Только под полную стоимость оборудования</v>
          </cell>
        </row>
        <row r="752">
          <cell r="A752" t="str">
            <v>Ковалев Леонид Викторович</v>
          </cell>
          <cell r="B752">
            <v>28657</v>
          </cell>
          <cell r="C752" t="str">
            <v>НЕВЫДАВАТЬ</v>
          </cell>
          <cell r="D752" t="str">
            <v>В РОЗЫСКЕ</v>
          </cell>
          <cell r="E752"/>
          <cell r="F752"/>
          <cell r="G752" t="str">
            <v>Только под полную стоимость оборудования</v>
          </cell>
        </row>
        <row r="753">
          <cell r="A753" t="str">
            <v>Ковалев Юрий Леонидович</v>
          </cell>
          <cell r="B753">
            <v>20563</v>
          </cell>
          <cell r="C753" t="str">
            <v>НЕВЫДАВАТЬ</v>
          </cell>
          <cell r="D753" t="str">
            <v>В РОЗЫСКЕ</v>
          </cell>
          <cell r="E753"/>
          <cell r="F753"/>
          <cell r="G753" t="str">
            <v>Только под полную стоимость оборудования</v>
          </cell>
        </row>
        <row r="754">
          <cell r="A754" t="str">
            <v>Козлов Игорь Иванович</v>
          </cell>
          <cell r="B754">
            <v>21257</v>
          </cell>
          <cell r="C754" t="str">
            <v>НЕВЫДАВАТЬ</v>
          </cell>
          <cell r="D754" t="str">
            <v>В РОЗЫСКЕ</v>
          </cell>
          <cell r="E754"/>
          <cell r="F754"/>
          <cell r="G754" t="str">
            <v>Только под полную стоимость оборудования</v>
          </cell>
        </row>
        <row r="755">
          <cell r="A755" t="str">
            <v>Койчиев Нурбек Сейитбекович</v>
          </cell>
          <cell r="B755">
            <v>31043</v>
          </cell>
          <cell r="C755" t="str">
            <v>НЕВЫДАВАТЬ</v>
          </cell>
          <cell r="D755" t="str">
            <v>В РОЗЫСКЕ</v>
          </cell>
          <cell r="E755"/>
          <cell r="F755"/>
          <cell r="G755" t="str">
            <v>Только под полную стоимость оборудования</v>
          </cell>
        </row>
        <row r="756">
          <cell r="A756" t="str">
            <v>Колочан Олег Вячеславович</v>
          </cell>
          <cell r="B756">
            <v>29901</v>
          </cell>
          <cell r="C756" t="str">
            <v>НЕВЫДАВАТЬ</v>
          </cell>
          <cell r="D756" t="str">
            <v>В РОЗЫСКЕ</v>
          </cell>
          <cell r="E756"/>
          <cell r="F756"/>
          <cell r="G756" t="str">
            <v>Только под полную стоимость оборудования</v>
          </cell>
        </row>
        <row r="757">
          <cell r="A757" t="str">
            <v xml:space="preserve">Конурбаев Джумабек Алымкулович </v>
          </cell>
          <cell r="B757">
            <v>18035</v>
          </cell>
          <cell r="C757" t="str">
            <v>НЕВЫДАВАТЬ</v>
          </cell>
          <cell r="D757" t="str">
            <v>В РОЗЫСКЕ</v>
          </cell>
          <cell r="E757"/>
          <cell r="F757"/>
          <cell r="G757" t="str">
            <v>Только под полную стоимость оборудования</v>
          </cell>
        </row>
        <row r="758">
          <cell r="A758" t="str">
            <v>Копылова Надежда Петровна</v>
          </cell>
          <cell r="B758">
            <v>17331</v>
          </cell>
          <cell r="C758" t="str">
            <v>НЕВЫДАВАТЬ</v>
          </cell>
          <cell r="D758" t="str">
            <v>В РОЗЫСКЕ</v>
          </cell>
          <cell r="E758"/>
          <cell r="F758"/>
          <cell r="G758" t="str">
            <v>Только под полную стоимость оборудования</v>
          </cell>
        </row>
        <row r="759">
          <cell r="A759" t="str">
            <v>Коржов Генадий Сергеевич</v>
          </cell>
          <cell r="B759">
            <v>20914</v>
          </cell>
          <cell r="C759" t="str">
            <v>НЕВЫДАВАТЬ</v>
          </cell>
          <cell r="D759" t="str">
            <v>В РОЗЫСКЕ</v>
          </cell>
          <cell r="E759"/>
          <cell r="F759"/>
          <cell r="G759" t="str">
            <v>Только под полную стоимость оборудования</v>
          </cell>
        </row>
        <row r="760">
          <cell r="A760" t="str">
            <v>Корниенко Павел Валерьевич</v>
          </cell>
          <cell r="B760">
            <v>23714</v>
          </cell>
          <cell r="C760" t="str">
            <v>НЕВЫДАВАТЬ</v>
          </cell>
          <cell r="D760" t="str">
            <v>В РОЗЫСКЕ</v>
          </cell>
          <cell r="E760"/>
          <cell r="F760"/>
          <cell r="G760" t="str">
            <v>Только под полную стоимость оборудования</v>
          </cell>
        </row>
        <row r="761">
          <cell r="A761" t="str">
            <v>Короблев Дмитрий Юрьевич</v>
          </cell>
          <cell r="B761">
            <v>23422</v>
          </cell>
          <cell r="C761" t="str">
            <v>НЕВЫДАВАТЬ</v>
          </cell>
          <cell r="D761" t="str">
            <v>В РОЗЫСКЕ</v>
          </cell>
          <cell r="E761"/>
          <cell r="F761"/>
          <cell r="G761" t="str">
            <v>Только под полную стоимость оборудования</v>
          </cell>
        </row>
        <row r="762">
          <cell r="A762" t="str">
            <v>Коротков Василий Иванович</v>
          </cell>
          <cell r="B762">
            <v>30867</v>
          </cell>
          <cell r="C762" t="str">
            <v>НЕВЫДАВАТЬ</v>
          </cell>
          <cell r="D762" t="str">
            <v>В РОЗЫСКЕ</v>
          </cell>
          <cell r="E762"/>
          <cell r="F762"/>
          <cell r="G762" t="str">
            <v>Только под полную стоимость оборудования</v>
          </cell>
        </row>
        <row r="763">
          <cell r="A763" t="str">
            <v>Котов Валерий Александрович1</v>
          </cell>
          <cell r="B763">
            <v>27857</v>
          </cell>
          <cell r="C763" t="str">
            <v>НЕВЫДАВАТЬ</v>
          </cell>
          <cell r="D763" t="str">
            <v>В РОЗЫСКЕ</v>
          </cell>
          <cell r="E763"/>
          <cell r="F763"/>
          <cell r="G763" t="str">
            <v>Только под полную стоимость оборудования</v>
          </cell>
        </row>
        <row r="764">
          <cell r="A764" t="str">
            <v xml:space="preserve">Кохно Алексей Анатольевич </v>
          </cell>
          <cell r="B764">
            <v>25362</v>
          </cell>
          <cell r="C764" t="str">
            <v>НЕВЫДАВАТЬ</v>
          </cell>
          <cell r="D764" t="str">
            <v>В РОЗЫСКЕ</v>
          </cell>
          <cell r="E764"/>
          <cell r="F764"/>
          <cell r="G764" t="str">
            <v>Только под полную стоимость оборудования</v>
          </cell>
        </row>
        <row r="765">
          <cell r="A765" t="str">
            <v>Кочетков Владимир Александрович</v>
          </cell>
          <cell r="B765">
            <v>27895</v>
          </cell>
          <cell r="C765" t="str">
            <v>НЕВЫДАВАТЬ</v>
          </cell>
          <cell r="D765" t="str">
            <v>В РОЗЫСКЕ</v>
          </cell>
          <cell r="E765"/>
          <cell r="F765"/>
          <cell r="G765" t="str">
            <v>Только под полную стоимость оборудования</v>
          </cell>
        </row>
        <row r="766">
          <cell r="A766" t="str">
            <v>Кочкорбаев Нургазы Сагынбаевич</v>
          </cell>
          <cell r="B766">
            <v>27057</v>
          </cell>
          <cell r="C766" t="str">
            <v>НЕВЫДАВАТЬ</v>
          </cell>
          <cell r="D766" t="str">
            <v>В РОЗЫСКЕ</v>
          </cell>
          <cell r="E766"/>
          <cell r="F766"/>
          <cell r="G766" t="str">
            <v>Только под полную стоимость оборудования</v>
          </cell>
        </row>
        <row r="767">
          <cell r="A767" t="str">
            <v>Кочорбаев Нурбек Райканович</v>
          </cell>
          <cell r="B767">
            <v>28983</v>
          </cell>
          <cell r="C767" t="str">
            <v>НЕВЫДАВАТЬ</v>
          </cell>
          <cell r="D767" t="str">
            <v>В РОЗЫСКЕ</v>
          </cell>
          <cell r="E767"/>
          <cell r="F767"/>
          <cell r="G767" t="str">
            <v>Только под полную стоимость оборудования</v>
          </cell>
        </row>
        <row r="768">
          <cell r="A768" t="str">
            <v>Кривешко Дмитрий Иванович</v>
          </cell>
          <cell r="B768">
            <v>25741</v>
          </cell>
          <cell r="C768" t="str">
            <v>НЕВЫДАВАТЬ</v>
          </cell>
          <cell r="D768" t="str">
            <v>В РОЗЫСКЕ</v>
          </cell>
          <cell r="E768"/>
          <cell r="F768"/>
          <cell r="G768" t="str">
            <v>Только под полную стоимость оборудования</v>
          </cell>
        </row>
        <row r="769">
          <cell r="A769" t="str">
            <v xml:space="preserve">Кротов Юрий Радионович </v>
          </cell>
          <cell r="B769">
            <v>33589</v>
          </cell>
          <cell r="C769" t="str">
            <v>НЕВЫДАВАТЬ</v>
          </cell>
          <cell r="D769" t="str">
            <v>В РОЗЫСКЕ</v>
          </cell>
          <cell r="E769"/>
          <cell r="F769"/>
          <cell r="G769" t="str">
            <v>Только под полную стоимость оборудования</v>
          </cell>
        </row>
        <row r="770">
          <cell r="A770" t="str">
            <v>Крысин Владимир Валерьвич</v>
          </cell>
          <cell r="B770">
            <v>27245</v>
          </cell>
          <cell r="C770" t="str">
            <v>НЕВЫДАВАТЬ</v>
          </cell>
          <cell r="D770" t="str">
            <v>В РОЗЫСКЕ</v>
          </cell>
          <cell r="E770"/>
          <cell r="F770"/>
          <cell r="G770" t="str">
            <v>Только под полную стоимость оборудования</v>
          </cell>
        </row>
        <row r="771">
          <cell r="A771" t="str">
            <v xml:space="preserve">Крьекер Александр Яковлевич </v>
          </cell>
          <cell r="B771">
            <v>22376</v>
          </cell>
          <cell r="C771" t="str">
            <v>НЕВЫДАВАТЬ</v>
          </cell>
          <cell r="D771" t="str">
            <v>В РОЗЫСКЕ</v>
          </cell>
          <cell r="E771"/>
          <cell r="F771"/>
          <cell r="G771" t="str">
            <v>Только под полную стоимость оборудования</v>
          </cell>
        </row>
        <row r="772">
          <cell r="A772" t="str">
            <v xml:space="preserve">Кряквин Алесандр Сергеевич </v>
          </cell>
          <cell r="B772">
            <v>17779</v>
          </cell>
          <cell r="C772" t="str">
            <v>НЕВЫДАВАТЬ</v>
          </cell>
          <cell r="D772" t="str">
            <v>В РОЗЫСКЕ</v>
          </cell>
          <cell r="E772"/>
          <cell r="F772"/>
          <cell r="G772" t="str">
            <v>Только под полную стоимость оборудования</v>
          </cell>
        </row>
        <row r="773">
          <cell r="A773" t="str">
            <v>Кудайбергенов Замир Орозбекович</v>
          </cell>
          <cell r="B773">
            <v>31670</v>
          </cell>
          <cell r="C773" t="str">
            <v>НЕВЫДАВАТЬ</v>
          </cell>
          <cell r="D773" t="str">
            <v>В РОЗЫСКЕ</v>
          </cell>
          <cell r="E773"/>
          <cell r="F773"/>
          <cell r="G773" t="str">
            <v>Только под полную стоимость оборудования</v>
          </cell>
        </row>
        <row r="774">
          <cell r="A774" t="str">
            <v>Кузиев Нишанбай Садирович</v>
          </cell>
          <cell r="B774">
            <v>24582</v>
          </cell>
          <cell r="C774" t="str">
            <v>НЕВЫДАВАТЬ</v>
          </cell>
          <cell r="D774" t="str">
            <v>В РОЗЫСКЕ</v>
          </cell>
          <cell r="E774"/>
          <cell r="F774"/>
          <cell r="G774" t="str">
            <v>Только под полную стоимость оборудования</v>
          </cell>
        </row>
        <row r="775">
          <cell r="A775" t="str">
            <v>Кузнецов Анатолий Анатольевич</v>
          </cell>
          <cell r="B775">
            <v>23197</v>
          </cell>
          <cell r="C775" t="str">
            <v>НЕВЫДАВАТЬ</v>
          </cell>
          <cell r="D775" t="str">
            <v>В РОЗЫСКЕ</v>
          </cell>
          <cell r="E775"/>
          <cell r="F775"/>
          <cell r="G775" t="str">
            <v>Только под полную стоимость оборудования</v>
          </cell>
        </row>
        <row r="776">
          <cell r="A776" t="str">
            <v>Кузнецов Андрей Александрович</v>
          </cell>
          <cell r="B776">
            <v>26600</v>
          </cell>
          <cell r="C776" t="str">
            <v>НЕВЫДАВАТЬ</v>
          </cell>
          <cell r="D776" t="str">
            <v>В РОЗЫСКЕ</v>
          </cell>
          <cell r="E776"/>
          <cell r="F776"/>
          <cell r="G776" t="str">
            <v>Только под полную стоимость оборудования</v>
          </cell>
        </row>
        <row r="777">
          <cell r="A777" t="str">
            <v>Кузнецов Иван Николаевич</v>
          </cell>
          <cell r="B777">
            <v>26392</v>
          </cell>
          <cell r="C777" t="str">
            <v>НЕВЫДАВАТЬ</v>
          </cell>
          <cell r="D777" t="str">
            <v>В РОЗЫСКЕ</v>
          </cell>
          <cell r="E777"/>
          <cell r="F777"/>
          <cell r="G777" t="str">
            <v>Только под полную стоимость оборудования</v>
          </cell>
        </row>
        <row r="778">
          <cell r="A778" t="str">
            <v>Кузнецов Николай Семенович</v>
          </cell>
          <cell r="B778">
            <v>21591</v>
          </cell>
          <cell r="C778" t="str">
            <v>НЕВЫДАВАТЬ</v>
          </cell>
          <cell r="D778" t="str">
            <v>В РОЗЫСКЕ</v>
          </cell>
          <cell r="E778"/>
          <cell r="F778"/>
          <cell r="G778" t="str">
            <v>Только под полную стоимость оборудования</v>
          </cell>
        </row>
        <row r="779">
          <cell r="A779" t="str">
            <v>Кузнецова Светлана Александровна</v>
          </cell>
          <cell r="B779">
            <v>22741</v>
          </cell>
          <cell r="C779" t="str">
            <v>НЕВЫДАВАТЬ</v>
          </cell>
          <cell r="D779" t="str">
            <v>В РОЗЫСКЕ</v>
          </cell>
          <cell r="E779"/>
          <cell r="F779"/>
          <cell r="G779" t="str">
            <v>Только под полную стоимость оборудования</v>
          </cell>
        </row>
        <row r="780">
          <cell r="A780" t="str">
            <v>Кузьмин Валерий Александрович</v>
          </cell>
          <cell r="B780">
            <v>23209</v>
          </cell>
          <cell r="C780" t="str">
            <v>НЕВЫДАВАТЬ</v>
          </cell>
          <cell r="D780" t="str">
            <v>В РОЗЫСКЕ</v>
          </cell>
          <cell r="E780"/>
          <cell r="F780"/>
          <cell r="G780" t="str">
            <v>Только под полную стоимость оборудования</v>
          </cell>
        </row>
        <row r="781">
          <cell r="A781" t="str">
            <v xml:space="preserve">Кузьмин Сергей Николаевич </v>
          </cell>
          <cell r="B781">
            <v>21089</v>
          </cell>
          <cell r="C781" t="str">
            <v>НЕВЫДАВАТЬ</v>
          </cell>
          <cell r="D781" t="str">
            <v>В РОЗЫСКЕ</v>
          </cell>
          <cell r="E781"/>
          <cell r="F781"/>
          <cell r="G781" t="str">
            <v>Только под полную стоимость оборудования</v>
          </cell>
        </row>
        <row r="782">
          <cell r="A782" t="str">
            <v>Кузьмин Сергей Сергеевич</v>
          </cell>
          <cell r="B782">
            <v>27464</v>
          </cell>
          <cell r="C782" t="str">
            <v>НЕВЫДАВАТЬ</v>
          </cell>
          <cell r="D782" t="str">
            <v>В РОЗЫСКЕ</v>
          </cell>
          <cell r="E782"/>
          <cell r="F782"/>
          <cell r="G782" t="str">
            <v>Только под полную стоимость оборудования</v>
          </cell>
        </row>
        <row r="783">
          <cell r="A783" t="str">
            <v>Кулдашев Аскарбек Абдурахманович</v>
          </cell>
          <cell r="B783">
            <v>24390</v>
          </cell>
          <cell r="C783" t="str">
            <v>НЕВЫДАВАТЬ</v>
          </cell>
          <cell r="D783" t="str">
            <v>В РОЗЫСКЕ</v>
          </cell>
          <cell r="E783"/>
          <cell r="F783"/>
          <cell r="G783" t="str">
            <v>Только под полную стоимость оборудования</v>
          </cell>
        </row>
        <row r="784">
          <cell r="A784" t="str">
            <v>Кульбеков Виктор Владимирович</v>
          </cell>
          <cell r="B784">
            <v>25342</v>
          </cell>
          <cell r="C784" t="str">
            <v>НЕВЫДАВАТЬ</v>
          </cell>
          <cell r="D784" t="str">
            <v>В РОЗЫСКЕ</v>
          </cell>
          <cell r="E784"/>
          <cell r="F784"/>
          <cell r="G784" t="str">
            <v>Только под полную стоимость оборудования</v>
          </cell>
        </row>
        <row r="785">
          <cell r="A785" t="str">
            <v xml:space="preserve">Курбанов Алымжан </v>
          </cell>
          <cell r="B785">
            <v>21037</v>
          </cell>
          <cell r="C785" t="str">
            <v>НЕВЫДАВАТЬ</v>
          </cell>
          <cell r="D785" t="str">
            <v>В РОЗЫСКЕ</v>
          </cell>
          <cell r="E785"/>
          <cell r="F785"/>
          <cell r="G785" t="str">
            <v>Только под полную стоимость оборудования</v>
          </cell>
        </row>
        <row r="786">
          <cell r="A786" t="str">
            <v>Курганов Шухрат Атабаевич</v>
          </cell>
          <cell r="B786">
            <v>25067</v>
          </cell>
          <cell r="C786" t="str">
            <v>НЕВЫДАВАТЬ</v>
          </cell>
          <cell r="D786" t="str">
            <v>В РОЗЫСКЕ</v>
          </cell>
          <cell r="E786"/>
          <cell r="F786"/>
          <cell r="G786" t="str">
            <v>Только под полную стоимость оборудования</v>
          </cell>
        </row>
        <row r="787">
          <cell r="A787" t="str">
            <v>Курдюмов Александр Николаевич</v>
          </cell>
          <cell r="B787">
            <v>16927</v>
          </cell>
          <cell r="C787" t="str">
            <v>НЕВЫДАВАТЬ</v>
          </cell>
          <cell r="D787" t="str">
            <v>В РОЗЫСКЕ</v>
          </cell>
          <cell r="E787"/>
          <cell r="F787"/>
          <cell r="G787" t="str">
            <v>Только под полную стоимость оборудования</v>
          </cell>
        </row>
        <row r="788">
          <cell r="A788" t="str">
            <v>Курильчик Михайил Николаевич</v>
          </cell>
          <cell r="B788">
            <v>31695</v>
          </cell>
          <cell r="C788" t="str">
            <v>НЕВЫДАВАТЬ</v>
          </cell>
          <cell r="D788" t="str">
            <v>В РОЗЫСКЕ</v>
          </cell>
          <cell r="E788"/>
          <cell r="F788"/>
          <cell r="G788" t="str">
            <v>Только под полную стоимость оборудования</v>
          </cell>
        </row>
        <row r="789">
          <cell r="A789" t="str">
            <v>Курманалиев Ишенбай Мырзакматович</v>
          </cell>
          <cell r="B789">
            <v>19951</v>
          </cell>
          <cell r="C789" t="str">
            <v>НЕВЫДАВАТЬ</v>
          </cell>
          <cell r="D789" t="str">
            <v>В РОЗЫСКЕ</v>
          </cell>
          <cell r="E789"/>
          <cell r="F789"/>
          <cell r="G789" t="str">
            <v>Только под полную стоимость оборудования</v>
          </cell>
        </row>
        <row r="790">
          <cell r="A790" t="str">
            <v>Курманалиев Догдурбек Джапарбекович</v>
          </cell>
          <cell r="B790">
            <v>20708</v>
          </cell>
          <cell r="C790" t="str">
            <v>НЕВЫДАВАТЬ</v>
          </cell>
          <cell r="D790" t="str">
            <v>В РОЗЫСКЕ</v>
          </cell>
          <cell r="E790"/>
          <cell r="F790"/>
          <cell r="G790" t="str">
            <v>Только под полную стоимость оборудования</v>
          </cell>
        </row>
        <row r="791">
          <cell r="A791" t="str">
            <v>Курманов Нурбек Тентиевич</v>
          </cell>
          <cell r="B791">
            <v>25591</v>
          </cell>
          <cell r="C791" t="str">
            <v>НЕВЫДАВАТЬ</v>
          </cell>
          <cell r="D791" t="str">
            <v>В РОЗЫСКЕ</v>
          </cell>
          <cell r="E791"/>
          <cell r="F791"/>
          <cell r="G791" t="str">
            <v>Только под полную стоимость оборудования</v>
          </cell>
        </row>
        <row r="792">
          <cell r="A792" t="str">
            <v>Курпаков Владимир Васильевич</v>
          </cell>
          <cell r="B792">
            <v>18427</v>
          </cell>
          <cell r="C792" t="str">
            <v>НЕВЫДАВАТЬ</v>
          </cell>
          <cell r="D792" t="str">
            <v>В РОЗЫСКЕ</v>
          </cell>
          <cell r="E792"/>
          <cell r="F792"/>
          <cell r="G792" t="str">
            <v>Только под полную стоимость оборудования</v>
          </cell>
        </row>
        <row r="793">
          <cell r="A793" t="str">
            <v>Кутлин Юрий Николаевич</v>
          </cell>
          <cell r="B793">
            <v>27294</v>
          </cell>
          <cell r="C793" t="str">
            <v>НЕВЫДАВАТЬ</v>
          </cell>
          <cell r="D793" t="str">
            <v>В РОЗЫСКЕ</v>
          </cell>
          <cell r="E793"/>
          <cell r="F793"/>
          <cell r="G793" t="str">
            <v>Только под полную стоимость оборудования</v>
          </cell>
        </row>
        <row r="794">
          <cell r="A794" t="str">
            <v>Кутубаев Тугунбай Айлесович</v>
          </cell>
          <cell r="B794">
            <v>22568</v>
          </cell>
          <cell r="C794" t="str">
            <v>НЕВЫДАВАТЬ</v>
          </cell>
          <cell r="D794" t="str">
            <v>В РОЗЫСКЕ</v>
          </cell>
          <cell r="E794"/>
          <cell r="F794"/>
          <cell r="G794" t="str">
            <v>Только под полную стоимость оборудования</v>
          </cell>
        </row>
        <row r="795">
          <cell r="A795" t="str">
            <v>Куценко Артур Анатольевич</v>
          </cell>
          <cell r="B795">
            <v>25591</v>
          </cell>
          <cell r="C795" t="str">
            <v>НЕВЫДАВАТЬ</v>
          </cell>
          <cell r="D795" t="str">
            <v>В РОЗЫСКЕ</v>
          </cell>
          <cell r="E795"/>
          <cell r="F795"/>
          <cell r="G795" t="str">
            <v>Только под полную стоимость оборудования</v>
          </cell>
        </row>
        <row r="796">
          <cell r="A796" t="str">
            <v>Кучкаров Назаркул Тилонбаевич</v>
          </cell>
          <cell r="B796">
            <v>25797</v>
          </cell>
          <cell r="C796" t="str">
            <v>НЕВЫДАВАТЬ</v>
          </cell>
          <cell r="D796" t="str">
            <v>В РОЗЫСКЕ</v>
          </cell>
          <cell r="E796"/>
          <cell r="F796"/>
          <cell r="G796" t="str">
            <v>Только под полную стоимость оборудования</v>
          </cell>
        </row>
        <row r="797">
          <cell r="A797" t="str">
            <v>Кушаков Исраилжан Эргешович</v>
          </cell>
          <cell r="B797">
            <v>29424</v>
          </cell>
          <cell r="C797" t="str">
            <v>НЕВЫДАВАТЬ</v>
          </cell>
          <cell r="D797" t="str">
            <v>В РОЗЫСКЕ</v>
          </cell>
          <cell r="E797"/>
          <cell r="F797"/>
          <cell r="G797" t="str">
            <v>Только под полную стоимость оборудования</v>
          </cell>
        </row>
        <row r="798">
          <cell r="A798" t="str">
            <v xml:space="preserve">Кылынч Кадир </v>
          </cell>
          <cell r="B798">
            <v>27033</v>
          </cell>
          <cell r="C798" t="str">
            <v>НЕВЫДАВАТЬ</v>
          </cell>
          <cell r="D798" t="str">
            <v>В РОЗЫСКЕ</v>
          </cell>
          <cell r="E798"/>
          <cell r="F798"/>
          <cell r="G798" t="str">
            <v>Только под полную стоимость оборудования</v>
          </cell>
        </row>
        <row r="799">
          <cell r="A799" t="str">
            <v>Кылычбеков Кубан Иманбекович</v>
          </cell>
          <cell r="B799">
            <v>28045</v>
          </cell>
          <cell r="C799" t="str">
            <v>НЕВЫДАВАТЬ</v>
          </cell>
          <cell r="D799" t="str">
            <v>В РОЗЫСКЕ</v>
          </cell>
          <cell r="E799"/>
          <cell r="F799"/>
          <cell r="G799" t="str">
            <v>Только под полную стоимость оборудования</v>
          </cell>
        </row>
        <row r="800">
          <cell r="A800" t="str">
            <v>Лазерев Николай Степанович</v>
          </cell>
          <cell r="B800">
            <v>20680</v>
          </cell>
          <cell r="C800" t="str">
            <v>НЕВЫДАВАТЬ</v>
          </cell>
          <cell r="D800" t="str">
            <v>В РОЗЫСКЕ</v>
          </cell>
          <cell r="E800"/>
          <cell r="F800"/>
          <cell r="G800" t="str">
            <v>Только под полную стоимость оборудования</v>
          </cell>
        </row>
        <row r="801">
          <cell r="A801" t="str">
            <v xml:space="preserve">Лапа Станислав Сергеевич </v>
          </cell>
          <cell r="B801">
            <v>18499</v>
          </cell>
          <cell r="C801" t="str">
            <v>НЕВЫДАВАТЬ</v>
          </cell>
          <cell r="D801" t="str">
            <v>В РОЗЫСКЕ</v>
          </cell>
          <cell r="E801"/>
          <cell r="F801"/>
          <cell r="G801" t="str">
            <v>Только под полную стоимость оборудования</v>
          </cell>
        </row>
        <row r="802">
          <cell r="A802" t="str">
            <v>Лебедев Владимир Владимирович</v>
          </cell>
          <cell r="B802">
            <v>22920</v>
          </cell>
          <cell r="C802" t="str">
            <v>НЕВЫДАВАТЬ</v>
          </cell>
          <cell r="D802" t="str">
            <v>В РОЗЫСКЕ</v>
          </cell>
          <cell r="E802"/>
          <cell r="F802"/>
          <cell r="G802" t="str">
            <v>Только под полную стоимость оборудования</v>
          </cell>
        </row>
        <row r="803">
          <cell r="A803" t="str">
            <v>Лебедев Игорь Владимирович</v>
          </cell>
          <cell r="B803">
            <v>25724</v>
          </cell>
          <cell r="C803" t="str">
            <v>НЕВЫДАВАТЬ</v>
          </cell>
          <cell r="D803" t="str">
            <v>В РОЗЫСКЕ</v>
          </cell>
          <cell r="E803"/>
          <cell r="F803"/>
          <cell r="G803" t="str">
            <v>Только под полную стоимость оборудования</v>
          </cell>
        </row>
        <row r="804">
          <cell r="A804" t="str">
            <v>Легчинов Руслан Вячеславович</v>
          </cell>
          <cell r="B804">
            <v>26930</v>
          </cell>
          <cell r="C804" t="str">
            <v>НЕВЫДАВАТЬ</v>
          </cell>
          <cell r="D804" t="str">
            <v>В РОЗЫСКЕ</v>
          </cell>
          <cell r="E804"/>
          <cell r="F804"/>
          <cell r="G804" t="str">
            <v>Только под полную стоимость оборудования</v>
          </cell>
        </row>
        <row r="805">
          <cell r="A805" t="str">
            <v>Леонов Дмитрий Михайлович</v>
          </cell>
          <cell r="B805">
            <v>28957</v>
          </cell>
          <cell r="C805" t="str">
            <v>НЕВЫДАВАТЬ</v>
          </cell>
          <cell r="D805" t="str">
            <v>В РОЗЫСКЕ</v>
          </cell>
          <cell r="E805"/>
          <cell r="F805"/>
          <cell r="G805" t="str">
            <v>Только под полную стоимость оборудования</v>
          </cell>
        </row>
        <row r="806">
          <cell r="A806" t="str">
            <v>Лесняк Юрий Николаевич</v>
          </cell>
          <cell r="B806">
            <v>21637</v>
          </cell>
          <cell r="C806" t="str">
            <v>НЕВЫДАВАТЬ</v>
          </cell>
          <cell r="D806" t="str">
            <v>В РОЗЫСКЕ</v>
          </cell>
          <cell r="E806"/>
          <cell r="F806"/>
          <cell r="G806" t="str">
            <v>Только под полную стоимость оборудования</v>
          </cell>
        </row>
        <row r="807">
          <cell r="A807" t="str">
            <v>Ли Валерий Михайлович</v>
          </cell>
          <cell r="B807">
            <v>19512</v>
          </cell>
          <cell r="C807" t="str">
            <v>НЕВЫДАВАТЬ</v>
          </cell>
          <cell r="D807" t="str">
            <v>В РОЗЫСКЕ</v>
          </cell>
          <cell r="E807"/>
          <cell r="F807"/>
          <cell r="G807" t="str">
            <v>Только под полную стоимость оборудования</v>
          </cell>
        </row>
        <row r="808">
          <cell r="A808" t="str">
            <v>Ли Роман Сергеевич</v>
          </cell>
          <cell r="B808">
            <v>23509</v>
          </cell>
          <cell r="C808" t="str">
            <v>НЕВЫДАВАТЬ</v>
          </cell>
          <cell r="D808" t="str">
            <v>В РОЗЫСКЕ</v>
          </cell>
          <cell r="E808"/>
          <cell r="F808"/>
          <cell r="G808" t="str">
            <v>Только под полную стоимость оборудования</v>
          </cell>
        </row>
        <row r="809">
          <cell r="A809" t="str">
            <v>Ли Роман Юрьевич</v>
          </cell>
          <cell r="B809">
            <v>30071</v>
          </cell>
          <cell r="C809" t="str">
            <v>НЕВЫДАВАТЬ</v>
          </cell>
          <cell r="D809" t="str">
            <v>В РОЗЫСКЕ</v>
          </cell>
          <cell r="E809"/>
          <cell r="F809"/>
          <cell r="G809" t="str">
            <v>Только под полную стоимость оборудования</v>
          </cell>
        </row>
        <row r="810">
          <cell r="A810" t="str">
            <v>Ли Сергей Александрович</v>
          </cell>
          <cell r="B810">
            <v>27316</v>
          </cell>
          <cell r="C810" t="str">
            <v>НЕВЫДАВАТЬ</v>
          </cell>
          <cell r="D810" t="str">
            <v>В РОЗЫСКЕ</v>
          </cell>
          <cell r="E810"/>
          <cell r="F810"/>
          <cell r="G810" t="str">
            <v>Только под полную стоимость оборудования</v>
          </cell>
        </row>
        <row r="811">
          <cell r="A811" t="str">
            <v>Ли Хянг Вон</v>
          </cell>
          <cell r="B811">
            <v>27294</v>
          </cell>
          <cell r="C811" t="str">
            <v>НЕВЫДАВАТЬ</v>
          </cell>
          <cell r="D811" t="str">
            <v>В РОЗЫСКЕ</v>
          </cell>
          <cell r="E811"/>
          <cell r="F811"/>
          <cell r="G811" t="str">
            <v>Только под полную стоимость оборудования</v>
          </cell>
        </row>
        <row r="812">
          <cell r="A812" t="str">
            <v>Лим Александр Германович</v>
          </cell>
          <cell r="B812">
            <v>26394</v>
          </cell>
          <cell r="C812" t="str">
            <v>НЕВЫДАВАТЬ</v>
          </cell>
          <cell r="D812" t="str">
            <v>В РОЗЫСКЕ</v>
          </cell>
          <cell r="E812"/>
          <cell r="F812"/>
          <cell r="G812" t="str">
            <v>Только под полную стоимость оборудования</v>
          </cell>
        </row>
        <row r="813">
          <cell r="A813" t="str">
            <v xml:space="preserve">Литвинов Илья Владимирович </v>
          </cell>
          <cell r="B813">
            <v>31775</v>
          </cell>
          <cell r="C813" t="str">
            <v>НЕВЫДАВАТЬ</v>
          </cell>
          <cell r="D813" t="str">
            <v>В РОЗЫСКЕ</v>
          </cell>
          <cell r="E813"/>
          <cell r="F813"/>
          <cell r="G813" t="str">
            <v>Только под полную стоимость оборудования</v>
          </cell>
        </row>
        <row r="814">
          <cell r="A814" t="str">
            <v>Личман Игорь Анатольевич</v>
          </cell>
          <cell r="B814">
            <v>24805</v>
          </cell>
          <cell r="C814" t="str">
            <v>НЕВЫДАВАТЬ</v>
          </cell>
          <cell r="D814" t="str">
            <v>В РОЗЫСКЕ</v>
          </cell>
          <cell r="E814"/>
          <cell r="F814"/>
          <cell r="G814" t="str">
            <v>Только под полную стоимость оборудования</v>
          </cell>
        </row>
        <row r="815">
          <cell r="A815" t="str">
            <v xml:space="preserve">Лущенко Иван Витальевич </v>
          </cell>
          <cell r="B815">
            <v>26264</v>
          </cell>
          <cell r="C815" t="str">
            <v>НЕВЫДАВАТЬ</v>
          </cell>
          <cell r="D815" t="str">
            <v>В РОЗЫСКЕ</v>
          </cell>
          <cell r="E815"/>
          <cell r="F815"/>
          <cell r="G815" t="str">
            <v>Только под полную стоимость оборудования</v>
          </cell>
        </row>
        <row r="816">
          <cell r="A816" t="str">
            <v>Лыгарев Сергей Борисович</v>
          </cell>
          <cell r="B816">
            <v>27457</v>
          </cell>
          <cell r="C816" t="str">
            <v>НЕВЫДАВАТЬ</v>
          </cell>
          <cell r="D816" t="str">
            <v>В РОЗЫСКЕ</v>
          </cell>
          <cell r="E816"/>
          <cell r="F816"/>
          <cell r="G816" t="str">
            <v>Только под полную стоимость оборудования</v>
          </cell>
        </row>
        <row r="817">
          <cell r="A817" t="str">
            <v>Люфт Александр Владимирович</v>
          </cell>
          <cell r="B817">
            <v>23893</v>
          </cell>
          <cell r="C817" t="str">
            <v>НЕВЫДАВАТЬ</v>
          </cell>
          <cell r="D817" t="str">
            <v>В РОЗЫСКЕ</v>
          </cell>
          <cell r="E817"/>
          <cell r="F817"/>
          <cell r="G817" t="str">
            <v>Только под полную стоимость оборудования</v>
          </cell>
        </row>
        <row r="818">
          <cell r="A818" t="str">
            <v>Лян Алексей Леонидович</v>
          </cell>
          <cell r="B818">
            <v>25596</v>
          </cell>
          <cell r="C818" t="str">
            <v>НЕВЫДАВАТЬ</v>
          </cell>
          <cell r="D818" t="str">
            <v>В РОЗЫСКЕ</v>
          </cell>
          <cell r="E818"/>
          <cell r="F818"/>
          <cell r="G818" t="str">
            <v>Только под полную стоимость оборудования</v>
          </cell>
        </row>
        <row r="819">
          <cell r="A819" t="str">
            <v>Ляушин Ибрагим Исмаилович</v>
          </cell>
          <cell r="B819">
            <v>28706</v>
          </cell>
          <cell r="C819" t="str">
            <v>НЕВЫДАВАТЬ</v>
          </cell>
          <cell r="D819" t="str">
            <v>В РОЗЫСКЕ</v>
          </cell>
          <cell r="E819"/>
          <cell r="F819"/>
          <cell r="G819" t="str">
            <v>Только под полную стоимость оборудования</v>
          </cell>
        </row>
        <row r="820">
          <cell r="A820" t="str">
            <v>Лященко Петр Леонидович</v>
          </cell>
          <cell r="B820">
            <v>24141</v>
          </cell>
          <cell r="C820" t="str">
            <v>НЕВЫДАВАТЬ</v>
          </cell>
          <cell r="D820" t="str">
            <v>В РОЗЫСКЕ</v>
          </cell>
          <cell r="E820"/>
          <cell r="F820"/>
          <cell r="G820" t="str">
            <v>Только под полную стоимость оборудования</v>
          </cell>
        </row>
        <row r="821">
          <cell r="A821" t="str">
            <v>Магомедов Муса Муртазалиевич</v>
          </cell>
          <cell r="B821">
            <v>23167</v>
          </cell>
          <cell r="C821" t="str">
            <v>НЕВЫДАВАТЬ</v>
          </cell>
          <cell r="D821" t="str">
            <v>В РОЗЫСКЕ</v>
          </cell>
          <cell r="E821"/>
          <cell r="F821"/>
          <cell r="G821" t="str">
            <v>Только под полную стоимость оборудования</v>
          </cell>
        </row>
        <row r="822">
          <cell r="A822" t="str">
            <v>Макаров Валерий Георгиевич</v>
          </cell>
          <cell r="B822">
            <v>19931</v>
          </cell>
          <cell r="C822" t="str">
            <v>НЕВЫДАВАТЬ</v>
          </cell>
          <cell r="D822" t="str">
            <v>В РОЗЫСКЕ</v>
          </cell>
          <cell r="E822"/>
          <cell r="F822"/>
          <cell r="G822" t="str">
            <v>Только под полную стоимость оборудования</v>
          </cell>
        </row>
        <row r="823">
          <cell r="A823" t="str">
            <v>Макаров Сергей Михайлович</v>
          </cell>
          <cell r="B823">
            <v>18855</v>
          </cell>
          <cell r="C823" t="str">
            <v>НЕВЫДАВАТЬ</v>
          </cell>
          <cell r="D823" t="str">
            <v>В РОЗЫСКЕ</v>
          </cell>
          <cell r="E823"/>
          <cell r="F823"/>
          <cell r="G823" t="str">
            <v>Только под полную стоимость оборудования</v>
          </cell>
        </row>
        <row r="824">
          <cell r="A824" t="str">
            <v>Макенов Азамат Жакыпбекович</v>
          </cell>
          <cell r="B824">
            <v>27189</v>
          </cell>
          <cell r="C824" t="str">
            <v>НЕВЫДАВАТЬ</v>
          </cell>
          <cell r="D824" t="str">
            <v>В РОЗЫСКЕ</v>
          </cell>
          <cell r="E824"/>
          <cell r="F824"/>
          <cell r="G824" t="str">
            <v>Только под полную стоимость оборудования</v>
          </cell>
        </row>
        <row r="825">
          <cell r="A825" t="str">
            <v>Максимов Сергей Викторович</v>
          </cell>
          <cell r="B825">
            <v>25896</v>
          </cell>
          <cell r="C825" t="str">
            <v>НЕВЫДАВАТЬ</v>
          </cell>
          <cell r="D825" t="str">
            <v>В РОЗЫСКЕ</v>
          </cell>
          <cell r="E825"/>
          <cell r="F825"/>
          <cell r="G825" t="str">
            <v>Только под полную стоимость оборудования</v>
          </cell>
        </row>
        <row r="826">
          <cell r="A826" t="str">
            <v>Маланчук Александр Михайлович</v>
          </cell>
          <cell r="B826">
            <v>26159</v>
          </cell>
          <cell r="C826" t="str">
            <v>НЕВЫДАВАТЬ</v>
          </cell>
          <cell r="D826" t="str">
            <v>В РОЗЫСКЕ</v>
          </cell>
          <cell r="E826"/>
          <cell r="F826"/>
          <cell r="G826" t="str">
            <v>Только под полную стоимость оборудования</v>
          </cell>
        </row>
        <row r="827">
          <cell r="A827" t="str">
            <v>Малкеев Султангазы Сержанович</v>
          </cell>
          <cell r="B827">
            <v>32105</v>
          </cell>
          <cell r="C827" t="str">
            <v>НЕВЫДАВАТЬ</v>
          </cell>
          <cell r="D827" t="str">
            <v>В РОЗЫСКЕ</v>
          </cell>
          <cell r="E827"/>
          <cell r="F827"/>
          <cell r="G827" t="str">
            <v>Только под полную стоимость оборудования</v>
          </cell>
        </row>
        <row r="828">
          <cell r="A828" t="str">
            <v>Малышов Александр анатольевич</v>
          </cell>
          <cell r="B828">
            <v>23772</v>
          </cell>
          <cell r="C828" t="str">
            <v>НЕВЫДАВАТЬ</v>
          </cell>
          <cell r="D828" t="str">
            <v>В РОЗЫСКЕ</v>
          </cell>
          <cell r="E828"/>
          <cell r="F828"/>
          <cell r="G828" t="str">
            <v>Только под полную стоимость оборудования</v>
          </cell>
        </row>
        <row r="829">
          <cell r="A829" t="str">
            <v>Мамадалиев Рустамбек Джабирович</v>
          </cell>
          <cell r="B829">
            <v>21514</v>
          </cell>
          <cell r="C829" t="str">
            <v>НЕВЫДАВАТЬ</v>
          </cell>
          <cell r="D829" t="str">
            <v>В РОЗЫСКЕ</v>
          </cell>
          <cell r="E829"/>
          <cell r="F829"/>
          <cell r="G829" t="str">
            <v>Только под полную стоимость оборудования</v>
          </cell>
        </row>
        <row r="830">
          <cell r="A830" t="str">
            <v>Мамадамиров Бахирад Авзалович</v>
          </cell>
          <cell r="B830">
            <v>26066</v>
          </cell>
          <cell r="C830" t="str">
            <v>НЕВЫДАВАТЬ</v>
          </cell>
          <cell r="D830" t="str">
            <v>В РОЗЫСКЕ</v>
          </cell>
          <cell r="E830"/>
          <cell r="F830"/>
          <cell r="G830" t="str">
            <v>Только под полную стоимость оборудования</v>
          </cell>
        </row>
        <row r="831">
          <cell r="A831" t="str">
            <v>Мамаджанов Насиржан Хамзаевич</v>
          </cell>
          <cell r="B831">
            <v>26833</v>
          </cell>
          <cell r="C831" t="str">
            <v>НЕВЫДАВАТЬ</v>
          </cell>
          <cell r="D831" t="str">
            <v>В РОЗЫСКЕ</v>
          </cell>
          <cell r="E831"/>
          <cell r="F831"/>
          <cell r="G831" t="str">
            <v>Только под полную стоимость оборудования</v>
          </cell>
        </row>
        <row r="832">
          <cell r="A832" t="str">
            <v>Мамадкаламов Ниятбек Сафарбекович</v>
          </cell>
          <cell r="B832">
            <v>24770</v>
          </cell>
          <cell r="C832" t="str">
            <v>НЕВЫДАВАТЬ</v>
          </cell>
          <cell r="D832" t="str">
            <v>В РОЗЫСКЕ</v>
          </cell>
          <cell r="E832"/>
          <cell r="F832"/>
          <cell r="G832" t="str">
            <v>Только под полную стоимость оборудования</v>
          </cell>
        </row>
        <row r="833">
          <cell r="A833" t="str">
            <v xml:space="preserve">Мамадназаров Ибрат Давлатович </v>
          </cell>
          <cell r="B833">
            <v>24030</v>
          </cell>
          <cell r="C833" t="str">
            <v>НЕВЫДАВАТЬ</v>
          </cell>
          <cell r="D833" t="str">
            <v>В РОЗЫСКЕ</v>
          </cell>
          <cell r="E833"/>
          <cell r="F833"/>
          <cell r="G833" t="str">
            <v>Только под полную стоимость оборудования</v>
          </cell>
        </row>
        <row r="834">
          <cell r="A834" t="str">
            <v>Мамажанов Тахиржан Толкунбаевич</v>
          </cell>
          <cell r="B834">
            <v>23656</v>
          </cell>
          <cell r="C834" t="str">
            <v>НЕВЫДАВАТЬ</v>
          </cell>
          <cell r="D834" t="str">
            <v>В РОЗЫСКЕ</v>
          </cell>
          <cell r="E834"/>
          <cell r="F834"/>
          <cell r="G834" t="str">
            <v>Только под полную стоимость оборудования</v>
          </cell>
        </row>
        <row r="835">
          <cell r="A835" t="str">
            <v xml:space="preserve">Мамажанов Хамиджан Хамзаевич </v>
          </cell>
          <cell r="B835">
            <v>24120</v>
          </cell>
          <cell r="C835" t="str">
            <v>НЕВЫДАВАТЬ</v>
          </cell>
          <cell r="D835" t="str">
            <v>В РОЗЫСКЕ</v>
          </cell>
          <cell r="E835"/>
          <cell r="F835"/>
          <cell r="G835" t="str">
            <v>Только под полную стоимость оборудования</v>
          </cell>
        </row>
        <row r="836">
          <cell r="A836" t="str">
            <v>Мамажанова Мукадамхан Мадаминовна</v>
          </cell>
          <cell r="B836">
            <v>25571</v>
          </cell>
          <cell r="C836" t="str">
            <v>НЕВЫДАВАТЬ</v>
          </cell>
          <cell r="D836" t="str">
            <v>В РОЗЫСКЕ</v>
          </cell>
          <cell r="E836"/>
          <cell r="F836"/>
          <cell r="G836" t="str">
            <v>Только под полную стоимость оборудования</v>
          </cell>
        </row>
        <row r="837">
          <cell r="A837" t="str">
            <v>Мамараимов Чолпон Омурзакович</v>
          </cell>
          <cell r="B837">
            <v>32009</v>
          </cell>
          <cell r="C837" t="str">
            <v>НЕВЫДАВАТЬ</v>
          </cell>
          <cell r="D837" t="str">
            <v>В РОЗЫСКЕ</v>
          </cell>
          <cell r="E837"/>
          <cell r="F837"/>
          <cell r="G837" t="str">
            <v>Только под полную стоимость оборудования</v>
          </cell>
        </row>
        <row r="838">
          <cell r="A838" t="str">
            <v>Маматов Дилшат Набижанович</v>
          </cell>
          <cell r="B838" t="str">
            <v>08 05 1970</v>
          </cell>
          <cell r="C838" t="str">
            <v>НЕВЫДАВАТЬ</v>
          </cell>
          <cell r="D838" t="str">
            <v>В РОЗЫСКЕ</v>
          </cell>
          <cell r="E838"/>
          <cell r="F838"/>
          <cell r="G838" t="str">
            <v>Только под полную стоимость оборудования</v>
          </cell>
        </row>
        <row r="839">
          <cell r="A839" t="str">
            <v>Маматов Рыспек Боруевич</v>
          </cell>
          <cell r="B839">
            <v>25960</v>
          </cell>
          <cell r="C839" t="str">
            <v>НЕВЫДАВАТЬ</v>
          </cell>
          <cell r="D839" t="str">
            <v>В РОЗЫСКЕ</v>
          </cell>
          <cell r="E839"/>
          <cell r="F839"/>
          <cell r="G839" t="str">
            <v>Только под полную стоимость оборудования</v>
          </cell>
        </row>
        <row r="840">
          <cell r="A840" t="str">
            <v>Маматов Сулайман Женишбекович</v>
          </cell>
          <cell r="B840" t="str">
            <v>.26.05.1984</v>
          </cell>
          <cell r="C840" t="str">
            <v>НЕВЫДАВАТЬ</v>
          </cell>
          <cell r="D840" t="str">
            <v>В РОЗЫСКЕ</v>
          </cell>
          <cell r="E840"/>
          <cell r="F840"/>
          <cell r="G840" t="str">
            <v>Только под полную стоимость оборудования</v>
          </cell>
        </row>
        <row r="841">
          <cell r="A841" t="str">
            <v>Маматов Сулайман Женишбекович</v>
          </cell>
          <cell r="B841">
            <v>30828</v>
          </cell>
          <cell r="C841" t="str">
            <v>НЕВЫДАВАТЬ</v>
          </cell>
          <cell r="D841" t="str">
            <v>В РОЗЫСКЕ</v>
          </cell>
          <cell r="E841"/>
          <cell r="F841"/>
          <cell r="G841" t="str">
            <v>Только под полную стоимость оборудования</v>
          </cell>
        </row>
        <row r="842">
          <cell r="A842" t="str">
            <v>Мамбеталиев Кубанычбек Кусеинович</v>
          </cell>
          <cell r="B842">
            <v>23483</v>
          </cell>
          <cell r="C842" t="str">
            <v>НЕВЫДАВАТЬ</v>
          </cell>
          <cell r="D842" t="str">
            <v>В РОЗЫСКЕ</v>
          </cell>
          <cell r="E842"/>
          <cell r="F842"/>
          <cell r="G842" t="str">
            <v>Только под полную стоимость оборудования</v>
          </cell>
        </row>
        <row r="843">
          <cell r="A843" t="str">
            <v>Мамбеталиев Куттубек Нукенович</v>
          </cell>
          <cell r="B843">
            <v>25044</v>
          </cell>
          <cell r="C843" t="str">
            <v>НЕВЫДАВАТЬ</v>
          </cell>
          <cell r="D843" t="str">
            <v>В РОЗЫСКЕ</v>
          </cell>
          <cell r="E843"/>
          <cell r="F843"/>
          <cell r="G843" t="str">
            <v>Только под полную стоимость оборудования</v>
          </cell>
        </row>
        <row r="844">
          <cell r="A844" t="str">
            <v>Мамедов Агасов Иса-Оглы</v>
          </cell>
          <cell r="B844">
            <v>26408</v>
          </cell>
          <cell r="C844" t="str">
            <v>НЕВЫДАВАТЬ</v>
          </cell>
          <cell r="D844" t="str">
            <v>В РОЗЫСКЕ</v>
          </cell>
          <cell r="E844"/>
          <cell r="F844"/>
          <cell r="G844" t="str">
            <v>Только под полную стоимость оборудования</v>
          </cell>
        </row>
        <row r="845">
          <cell r="A845" t="str">
            <v>Мамедов Тарлан Имранович</v>
          </cell>
          <cell r="B845">
            <v>25789</v>
          </cell>
          <cell r="C845" t="str">
            <v>НЕВЫДАВАТЬ</v>
          </cell>
          <cell r="D845" t="str">
            <v>В РОЗЫСКЕ</v>
          </cell>
          <cell r="E845"/>
          <cell r="F845"/>
          <cell r="G845" t="str">
            <v>Только под полную стоимость оборудования</v>
          </cell>
        </row>
        <row r="846">
          <cell r="A846" t="str">
            <v xml:space="preserve">Мамедов Теймур Роман оглы </v>
          </cell>
          <cell r="B846">
            <v>31244</v>
          </cell>
          <cell r="C846" t="str">
            <v>НЕВЫДАВАТЬ</v>
          </cell>
          <cell r="D846" t="str">
            <v>В РОЗЫСКЕ</v>
          </cell>
          <cell r="E846"/>
          <cell r="F846"/>
          <cell r="G846" t="str">
            <v>Только под полную стоимость оборудования</v>
          </cell>
        </row>
        <row r="847">
          <cell r="A847" t="str">
            <v>Мамытов Азат Толомушович</v>
          </cell>
          <cell r="B847">
            <v>31355</v>
          </cell>
          <cell r="C847" t="str">
            <v>НЕВЫДАВАТЬ</v>
          </cell>
          <cell r="D847" t="str">
            <v>В РОЗЫСКЕ</v>
          </cell>
          <cell r="E847"/>
          <cell r="F847"/>
          <cell r="G847" t="str">
            <v>Только под полную стоимость оборудования</v>
          </cell>
        </row>
        <row r="848">
          <cell r="A848" t="str">
            <v>Манапбаев Акылбек Мусабекович</v>
          </cell>
          <cell r="B848">
            <v>30082</v>
          </cell>
          <cell r="C848" t="str">
            <v>НЕВЫДАВАТЬ</v>
          </cell>
          <cell r="D848" t="str">
            <v>В РОЗЫСКЕ</v>
          </cell>
          <cell r="E848"/>
          <cell r="F848"/>
          <cell r="G848" t="str">
            <v>Только под полную стоимость оборудования</v>
          </cell>
        </row>
        <row r="849">
          <cell r="A849" t="str">
            <v>Маннапов Ботир Маликович</v>
          </cell>
          <cell r="B849" t="str">
            <v>07.04.1975   .</v>
          </cell>
          <cell r="C849" t="str">
            <v>НЕВЫДАВАТЬ</v>
          </cell>
          <cell r="D849" t="str">
            <v>В РОЗЫСКЕ</v>
          </cell>
          <cell r="E849"/>
          <cell r="F849"/>
          <cell r="G849" t="str">
            <v>Только под полную стоимость оборудования</v>
          </cell>
        </row>
        <row r="850">
          <cell r="A850" t="str">
            <v>Маньясов Шерик Ясович</v>
          </cell>
          <cell r="B850">
            <v>19768</v>
          </cell>
          <cell r="C850" t="str">
            <v>НЕВЫДАВАТЬ</v>
          </cell>
          <cell r="D850" t="str">
            <v>В РОЗЫСКЕ</v>
          </cell>
          <cell r="E850"/>
          <cell r="F850"/>
          <cell r="G850" t="str">
            <v>Только под полную стоимость оборудования</v>
          </cell>
        </row>
        <row r="851">
          <cell r="A851" t="str">
            <v>Маренков Леонид Михайлович</v>
          </cell>
          <cell r="B851">
            <v>14952</v>
          </cell>
          <cell r="C851" t="str">
            <v>НЕВЫДАВАТЬ</v>
          </cell>
          <cell r="D851" t="str">
            <v>В РОЗЫСКЕ</v>
          </cell>
          <cell r="E851"/>
          <cell r="F851"/>
          <cell r="G851" t="str">
            <v>Только под полную стоимость оборудования</v>
          </cell>
        </row>
        <row r="852">
          <cell r="A852" t="str">
            <v>Маркелов Николай Александрович</v>
          </cell>
          <cell r="B852">
            <v>27244</v>
          </cell>
          <cell r="C852" t="str">
            <v>НЕВЫДАВАТЬ</v>
          </cell>
          <cell r="D852" t="str">
            <v>В РОЗЫСКЕ</v>
          </cell>
          <cell r="E852"/>
          <cell r="F852"/>
          <cell r="G852" t="str">
            <v>Только под полную стоимость оборудования</v>
          </cell>
        </row>
        <row r="853">
          <cell r="A853" t="str">
            <v>Марков Александр Николаевич</v>
          </cell>
          <cell r="B853">
            <v>19417</v>
          </cell>
          <cell r="C853" t="str">
            <v>НЕВЫДАВАТЬ</v>
          </cell>
          <cell r="D853" t="str">
            <v>В РОЗЫСКЕ</v>
          </cell>
          <cell r="E853"/>
          <cell r="F853"/>
          <cell r="G853" t="str">
            <v>Только под полную стоимость оборудования</v>
          </cell>
        </row>
        <row r="854">
          <cell r="A854" t="str">
            <v>Маруков Юрий Юрьевич</v>
          </cell>
          <cell r="B854">
            <v>23745</v>
          </cell>
          <cell r="C854" t="str">
            <v>НЕВЫДАВАТЬ</v>
          </cell>
          <cell r="D854" t="str">
            <v>В РОЗЫСКЕ</v>
          </cell>
          <cell r="E854"/>
          <cell r="F854"/>
          <cell r="G854" t="str">
            <v>Только под полную стоимость оборудования</v>
          </cell>
        </row>
        <row r="855">
          <cell r="A855" t="str">
            <v xml:space="preserve">Матыгулин Николоай Евгениевич </v>
          </cell>
          <cell r="B855">
            <v>24011</v>
          </cell>
          <cell r="C855" t="str">
            <v>НЕВЫДАВАТЬ</v>
          </cell>
          <cell r="D855" t="str">
            <v>В РОЗЫСКЕ</v>
          </cell>
          <cell r="E855"/>
          <cell r="F855"/>
          <cell r="G855" t="str">
            <v>Только под полную стоимость оборудования</v>
          </cell>
        </row>
        <row r="856">
          <cell r="A856" t="str">
            <v xml:space="preserve">Матюшов Петр Иванович </v>
          </cell>
          <cell r="B856">
            <v>24307</v>
          </cell>
          <cell r="C856" t="str">
            <v>НЕВЫДАВАТЬ</v>
          </cell>
          <cell r="D856" t="str">
            <v>В РОЗЫСКЕ</v>
          </cell>
          <cell r="E856"/>
          <cell r="F856"/>
          <cell r="G856" t="str">
            <v>Только под полную стоимость оборудования</v>
          </cell>
        </row>
        <row r="857">
          <cell r="A857" t="str">
            <v xml:space="preserve">Махмуджан Мамед </v>
          </cell>
          <cell r="B857">
            <v>28839</v>
          </cell>
          <cell r="C857" t="str">
            <v>НЕВЫДАВАТЬ</v>
          </cell>
          <cell r="D857" t="str">
            <v>В РОЗЫСКЕ</v>
          </cell>
          <cell r="E857"/>
          <cell r="F857"/>
          <cell r="G857" t="str">
            <v>Только под полную стоимость оборудования</v>
          </cell>
        </row>
        <row r="858">
          <cell r="A858" t="str">
            <v>Мачинов Шакир Абдурашидович</v>
          </cell>
          <cell r="B858">
            <v>31290</v>
          </cell>
          <cell r="C858" t="str">
            <v>НЕВЫДАВАТЬ</v>
          </cell>
          <cell r="D858" t="str">
            <v>В РОЗЫСКЕ</v>
          </cell>
          <cell r="E858"/>
          <cell r="F858"/>
          <cell r="G858" t="str">
            <v>Только под полную стоимость оборудования</v>
          </cell>
        </row>
        <row r="859">
          <cell r="A859" t="str">
            <v>Медведев Виктор Александрович</v>
          </cell>
          <cell r="B859">
            <v>24699</v>
          </cell>
          <cell r="C859" t="str">
            <v>НЕВЫДАВАТЬ</v>
          </cell>
          <cell r="D859" t="str">
            <v>В РОЗЫСКЕ</v>
          </cell>
          <cell r="E859"/>
          <cell r="F859"/>
          <cell r="G859" t="str">
            <v>Только под полную стоимость оборудования</v>
          </cell>
        </row>
        <row r="860">
          <cell r="A860" t="str">
            <v>Мезин Александр Викторович</v>
          </cell>
          <cell r="B860">
            <v>25327</v>
          </cell>
          <cell r="C860" t="str">
            <v>НЕВЫДАВАТЬ</v>
          </cell>
          <cell r="D860" t="str">
            <v>В РОЗЫСКЕ</v>
          </cell>
          <cell r="E860"/>
          <cell r="F860"/>
          <cell r="G860" t="str">
            <v>Только под полную стоимость оборудования</v>
          </cell>
        </row>
        <row r="861">
          <cell r="A861" t="str">
            <v>Мейлибаев Эрлан Орозхануглы</v>
          </cell>
          <cell r="B861">
            <v>26894</v>
          </cell>
          <cell r="C861" t="str">
            <v>НЕВЫДАВАТЬ</v>
          </cell>
          <cell r="D861" t="str">
            <v>В РОЗЫСКЕ</v>
          </cell>
          <cell r="E861"/>
          <cell r="F861"/>
          <cell r="G861" t="str">
            <v>Только под полную стоимость оборудования</v>
          </cell>
        </row>
        <row r="862">
          <cell r="A862" t="str">
            <v>Мейманова Майрамкан Джумаевна</v>
          </cell>
          <cell r="B862">
            <v>23487</v>
          </cell>
          <cell r="C862" t="str">
            <v>НЕВЫДАВАТЬ</v>
          </cell>
          <cell r="D862" t="str">
            <v>В РОЗЫСКЕ</v>
          </cell>
          <cell r="E862"/>
          <cell r="F862"/>
          <cell r="G862" t="str">
            <v>Только под полную стоимость оборудования</v>
          </cell>
        </row>
        <row r="863">
          <cell r="A863" t="str">
            <v xml:space="preserve">Меклер Сергей Альбертович </v>
          </cell>
          <cell r="B863">
            <v>20065</v>
          </cell>
          <cell r="C863" t="str">
            <v>НЕВЫДАВАТЬ</v>
          </cell>
          <cell r="D863" t="str">
            <v>В РОЗЫСКЕ</v>
          </cell>
          <cell r="E863"/>
          <cell r="F863"/>
          <cell r="G863" t="str">
            <v>Только под полную стоимость оборудования</v>
          </cell>
        </row>
        <row r="864">
          <cell r="A864" t="str">
            <v xml:space="preserve">Мелдебеков Бахытжан Сарсенбекович </v>
          </cell>
          <cell r="B864">
            <v>30690</v>
          </cell>
          <cell r="C864" t="str">
            <v>НЕВЫДАВАТЬ</v>
          </cell>
          <cell r="D864" t="str">
            <v>В РОЗЫСКЕ</v>
          </cell>
          <cell r="E864"/>
          <cell r="F864"/>
          <cell r="G864" t="str">
            <v>Только под полную стоимость оборудования</v>
          </cell>
        </row>
        <row r="865">
          <cell r="A865" t="str">
            <v xml:space="preserve">Мельников Андрей Александрович </v>
          </cell>
          <cell r="B865">
            <v>28113</v>
          </cell>
          <cell r="C865" t="str">
            <v>НЕВЫДАВАТЬ</v>
          </cell>
          <cell r="D865" t="str">
            <v>В РОЗЫСКЕ</v>
          </cell>
          <cell r="E865"/>
          <cell r="F865"/>
          <cell r="G865" t="str">
            <v>Только под полную стоимость оборудования</v>
          </cell>
        </row>
        <row r="866">
          <cell r="A866" t="str">
            <v>Меняйлов Олег Иванович</v>
          </cell>
          <cell r="B866">
            <v>22958</v>
          </cell>
          <cell r="C866" t="str">
            <v>НЕВЫДАВАТЬ</v>
          </cell>
          <cell r="D866" t="str">
            <v>В РОЗЫСКЕ</v>
          </cell>
          <cell r="E866"/>
          <cell r="F866"/>
          <cell r="G866" t="str">
            <v>Только под полную стоимость оборудования</v>
          </cell>
        </row>
        <row r="867">
          <cell r="A867" t="str">
            <v>Мехманов Данияр Шермухамадович</v>
          </cell>
          <cell r="B867" t="str">
            <v>28.03.1976   .</v>
          </cell>
          <cell r="C867" t="str">
            <v>НЕВЫДАВАТЬ</v>
          </cell>
          <cell r="D867" t="str">
            <v>В РОЗЫСКЕ</v>
          </cell>
          <cell r="E867"/>
          <cell r="F867"/>
          <cell r="G867" t="str">
            <v>Только под полную стоимость оборудования</v>
          </cell>
        </row>
        <row r="868">
          <cell r="A868" t="str">
            <v>Милащенко Александр Николаевич</v>
          </cell>
          <cell r="B868">
            <v>29672</v>
          </cell>
          <cell r="C868" t="str">
            <v>НЕВЫДАВАТЬ</v>
          </cell>
          <cell r="D868" t="str">
            <v>В РОЗЫСКЕ</v>
          </cell>
          <cell r="E868"/>
          <cell r="F868"/>
          <cell r="G868" t="str">
            <v>Только под полную стоимость оборудования</v>
          </cell>
        </row>
        <row r="869">
          <cell r="A869" t="str">
            <v>Миничев Николай Геннадьевич</v>
          </cell>
          <cell r="B869">
            <v>23911</v>
          </cell>
          <cell r="C869" t="str">
            <v>НЕВЫДАВАТЬ</v>
          </cell>
          <cell r="D869" t="str">
            <v>В РОЗЫСКЕ</v>
          </cell>
          <cell r="E869"/>
          <cell r="F869"/>
          <cell r="G869" t="str">
            <v>Только под полную стоимость оборудования</v>
          </cell>
        </row>
        <row r="870">
          <cell r="A870" t="str">
            <v xml:space="preserve">Мирзаев Бекболот Абдуллаевич </v>
          </cell>
          <cell r="B870">
            <v>22079</v>
          </cell>
          <cell r="C870" t="str">
            <v>НЕВЫДАВАТЬ</v>
          </cell>
          <cell r="D870" t="str">
            <v>В РОЗЫСКЕ</v>
          </cell>
          <cell r="E870"/>
          <cell r="F870"/>
          <cell r="G870" t="str">
            <v>Только под полную стоимость оборудования</v>
          </cell>
        </row>
        <row r="871">
          <cell r="A871" t="str">
            <v xml:space="preserve">Миронов Юрий Иванович </v>
          </cell>
          <cell r="B871">
            <v>15141</v>
          </cell>
          <cell r="C871" t="str">
            <v>НЕВЫДАВАТЬ</v>
          </cell>
          <cell r="D871" t="str">
            <v>В РОЗЫСКЕ</v>
          </cell>
          <cell r="E871"/>
          <cell r="F871"/>
          <cell r="G871" t="str">
            <v>Только под полную стоимость оборудования</v>
          </cell>
        </row>
        <row r="872">
          <cell r="A872" t="str">
            <v>Митренко Юрий Алексеевич</v>
          </cell>
          <cell r="B872">
            <v>25708</v>
          </cell>
          <cell r="C872" t="str">
            <v>НЕВЫДАВАТЬ</v>
          </cell>
          <cell r="D872" t="str">
            <v>В РОЗЫСКЕ</v>
          </cell>
          <cell r="E872"/>
          <cell r="F872"/>
          <cell r="G872" t="str">
            <v>Только под полную стоимость оборудования</v>
          </cell>
        </row>
        <row r="873">
          <cell r="A873" t="str">
            <v>Михай Елизавета Ивановна</v>
          </cell>
          <cell r="B873">
            <v>21671</v>
          </cell>
          <cell r="C873" t="str">
            <v>НЕВЫДАВАТЬ</v>
          </cell>
          <cell r="D873" t="str">
            <v>В РОЗЫСКЕ</v>
          </cell>
          <cell r="E873"/>
          <cell r="F873"/>
          <cell r="G873" t="str">
            <v>Только под полную стоимость оборудования</v>
          </cell>
        </row>
        <row r="874">
          <cell r="A874" t="str">
            <v>Михасев Дмитрий Владимирович</v>
          </cell>
          <cell r="B874">
            <v>26091</v>
          </cell>
          <cell r="C874" t="str">
            <v>НЕВЫДАВАТЬ</v>
          </cell>
          <cell r="D874" t="str">
            <v>В РОЗЫСКЕ</v>
          </cell>
          <cell r="E874"/>
          <cell r="F874"/>
          <cell r="G874" t="str">
            <v>Только под полную стоимость оборудования</v>
          </cell>
        </row>
        <row r="875">
          <cell r="A875" t="str">
            <v>Мицкул Виктор Иванович</v>
          </cell>
          <cell r="B875" t="str">
            <v xml:space="preserve">01.081957 </v>
          </cell>
          <cell r="C875" t="str">
            <v>НЕВЫДАВАТЬ</v>
          </cell>
          <cell r="D875" t="str">
            <v>В РОЗЫСКЕ</v>
          </cell>
          <cell r="E875"/>
          <cell r="F875"/>
          <cell r="G875" t="str">
            <v>Только под полную стоимость оборудования</v>
          </cell>
        </row>
        <row r="876">
          <cell r="A876" t="str">
            <v xml:space="preserve">Мишкин Валерий Владимирович </v>
          </cell>
          <cell r="B876">
            <v>25830</v>
          </cell>
          <cell r="C876" t="str">
            <v>НЕВЫДАВАТЬ</v>
          </cell>
          <cell r="D876" t="str">
            <v>В РОЗЫСКЕ</v>
          </cell>
          <cell r="E876"/>
          <cell r="F876"/>
          <cell r="G876" t="str">
            <v>Только под полную стоимость оборудования</v>
          </cell>
        </row>
        <row r="877">
          <cell r="A877" t="str">
            <v>Моисеев Дмитрий Викторович</v>
          </cell>
          <cell r="B877">
            <v>27222</v>
          </cell>
          <cell r="C877" t="str">
            <v>НЕВЫДАВАТЬ</v>
          </cell>
          <cell r="D877" t="str">
            <v>В РОЗЫСКЕ</v>
          </cell>
          <cell r="E877"/>
          <cell r="F877"/>
          <cell r="G877" t="str">
            <v>Только под полную стоимость оборудования</v>
          </cell>
        </row>
        <row r="878">
          <cell r="A878" t="str">
            <v xml:space="preserve">Мокин Евгений Евгеньевич </v>
          </cell>
          <cell r="B878">
            <v>23876</v>
          </cell>
          <cell r="C878" t="str">
            <v>НЕВЫДАВАТЬ</v>
          </cell>
          <cell r="D878" t="str">
            <v>В РОЗЫСКЕ</v>
          </cell>
          <cell r="E878"/>
          <cell r="F878"/>
          <cell r="G878" t="str">
            <v>Только под полную стоимость оборудования</v>
          </cell>
        </row>
        <row r="879">
          <cell r="A879" t="str">
            <v>Молдожунусов Улугбек Жусупбекович</v>
          </cell>
          <cell r="B879">
            <v>22619</v>
          </cell>
          <cell r="C879" t="str">
            <v>НЕВЫДАВАТЬ</v>
          </cell>
          <cell r="D879" t="str">
            <v>В РОЗЫСКЕ</v>
          </cell>
          <cell r="E879"/>
          <cell r="F879"/>
          <cell r="G879" t="str">
            <v>Только под полную стоимость оборудования</v>
          </cell>
        </row>
        <row r="880">
          <cell r="A880" t="str">
            <v>Молдокайыпов Бексултан Иманбекович</v>
          </cell>
          <cell r="B880">
            <v>31844</v>
          </cell>
          <cell r="C880" t="str">
            <v>НЕВЫДАВАТЬ</v>
          </cell>
          <cell r="D880" t="str">
            <v>В РОЗЫСКЕ</v>
          </cell>
          <cell r="E880"/>
          <cell r="F880"/>
          <cell r="G880" t="str">
            <v>Только под полную стоимость оборудования</v>
          </cell>
        </row>
        <row r="881">
          <cell r="A881" t="str">
            <v xml:space="preserve">Молдошев Бауржан Болтабаевич </v>
          </cell>
          <cell r="B881">
            <v>30460</v>
          </cell>
          <cell r="C881" t="str">
            <v>НЕВЫДАВАТЬ</v>
          </cell>
          <cell r="D881" t="str">
            <v>В РОЗЫСКЕ</v>
          </cell>
          <cell r="E881"/>
          <cell r="F881"/>
          <cell r="G881" t="str">
            <v>Только под полную стоимость оборудования</v>
          </cell>
        </row>
        <row r="882">
          <cell r="A882" t="str">
            <v>Моминов Асанбай Номонжанович</v>
          </cell>
          <cell r="B882">
            <v>26336</v>
          </cell>
          <cell r="C882" t="str">
            <v>НЕВЫДАВАТЬ</v>
          </cell>
          <cell r="D882" t="str">
            <v>В РОЗЫСКЕ</v>
          </cell>
          <cell r="E882"/>
          <cell r="F882"/>
          <cell r="G882" t="str">
            <v>Только под полную стоимость оборудования</v>
          </cell>
        </row>
        <row r="883">
          <cell r="A883" t="str">
            <v xml:space="preserve">Момунжанов Асадила Тилетович </v>
          </cell>
          <cell r="B883">
            <v>22009</v>
          </cell>
          <cell r="C883" t="str">
            <v>НЕВЫДАВАТЬ</v>
          </cell>
          <cell r="D883" t="str">
            <v>В РОЗЫСКЕ</v>
          </cell>
          <cell r="E883"/>
          <cell r="F883"/>
          <cell r="G883" t="str">
            <v>Только под полную стоимость оборудования</v>
          </cell>
        </row>
        <row r="884">
          <cell r="A884" t="str">
            <v>Монолов Жалалдин Бакышевич</v>
          </cell>
          <cell r="B884">
            <v>28222</v>
          </cell>
          <cell r="C884" t="str">
            <v>НЕВЫДАВАТЬ</v>
          </cell>
          <cell r="D884" t="str">
            <v>В РОЗЫСКЕ</v>
          </cell>
          <cell r="E884"/>
          <cell r="F884"/>
          <cell r="G884" t="str">
            <v>Только под полную стоимость оборудования</v>
          </cell>
        </row>
        <row r="885">
          <cell r="A885" t="str">
            <v>Моркобородов Виктор Борисович</v>
          </cell>
          <cell r="B885">
            <v>24342</v>
          </cell>
          <cell r="C885" t="str">
            <v>НЕВЫДАВАТЬ</v>
          </cell>
          <cell r="D885" t="str">
            <v>В РОЗЫСКЕ</v>
          </cell>
          <cell r="E885"/>
          <cell r="F885"/>
          <cell r="G885" t="str">
            <v>Только под полную стоимость оборудования</v>
          </cell>
        </row>
        <row r="886">
          <cell r="A886" t="str">
            <v>Морковский Владимир Николаевич</v>
          </cell>
          <cell r="B886">
            <v>21736</v>
          </cell>
          <cell r="C886" t="str">
            <v>НЕВЫДАВАТЬ</v>
          </cell>
          <cell r="D886" t="str">
            <v>В РОЗЫСКЕ</v>
          </cell>
          <cell r="E886"/>
          <cell r="F886"/>
          <cell r="G886" t="str">
            <v>Только под полную стоимость оборудования</v>
          </cell>
        </row>
        <row r="887">
          <cell r="A887" t="str">
            <v>Морозов Иван Юрьевич</v>
          </cell>
          <cell r="B887">
            <v>31376</v>
          </cell>
          <cell r="C887" t="str">
            <v>НЕВЫДАВАТЬ</v>
          </cell>
          <cell r="D887" t="str">
            <v>В РОЗЫСКЕ</v>
          </cell>
          <cell r="E887"/>
          <cell r="F887"/>
          <cell r="G887" t="str">
            <v>Только под полную стоимость оборудования</v>
          </cell>
        </row>
        <row r="888">
          <cell r="A888" t="str">
            <v>Мукенов Ураалы Усуевич</v>
          </cell>
          <cell r="B888">
            <v>22870</v>
          </cell>
          <cell r="C888" t="str">
            <v>НЕВЫДАВАТЬ</v>
          </cell>
          <cell r="D888" t="str">
            <v>В РОЗЫСКЕ</v>
          </cell>
          <cell r="E888"/>
          <cell r="F888"/>
          <cell r="G888" t="str">
            <v>Только под полную стоимость оборудования</v>
          </cell>
        </row>
        <row r="889">
          <cell r="A889" t="str">
            <v>Мукумшоев Далер Джумабаевич</v>
          </cell>
          <cell r="B889">
            <v>24119</v>
          </cell>
          <cell r="C889" t="str">
            <v>НЕВЫДАВАТЬ</v>
          </cell>
          <cell r="D889" t="str">
            <v>В РОЗЫСКЕ</v>
          </cell>
          <cell r="E889"/>
          <cell r="F889"/>
          <cell r="G889" t="str">
            <v>Только под полную стоимость оборудования</v>
          </cell>
        </row>
        <row r="890">
          <cell r="A890" t="str">
            <v>Муллабаев Бекзод Моминжон Угли</v>
          </cell>
          <cell r="B890">
            <v>29703</v>
          </cell>
          <cell r="C890" t="str">
            <v>НЕВЫДАВАТЬ</v>
          </cell>
          <cell r="D890" t="str">
            <v>В РОЗЫСКЕ</v>
          </cell>
          <cell r="E890"/>
          <cell r="F890"/>
          <cell r="G890" t="str">
            <v>Только под полную стоимость оборудования</v>
          </cell>
        </row>
        <row r="891">
          <cell r="A891" t="str">
            <v xml:space="preserve">Муллажанов Умиджан Эргешович </v>
          </cell>
          <cell r="B891">
            <v>27458</v>
          </cell>
          <cell r="C891" t="str">
            <v>НЕВЫДАВАТЬ</v>
          </cell>
          <cell r="D891" t="str">
            <v>В РОЗЫСКЕ</v>
          </cell>
          <cell r="E891"/>
          <cell r="F891"/>
          <cell r="G891" t="str">
            <v>Только под полную стоимость оборудования</v>
          </cell>
        </row>
        <row r="892">
          <cell r="A892" t="str">
            <v>Мунайтбасов Токтосун Жумакадырович</v>
          </cell>
          <cell r="B892">
            <v>20624</v>
          </cell>
          <cell r="C892" t="str">
            <v>НЕВЫДАВАТЬ</v>
          </cell>
          <cell r="D892" t="str">
            <v>В РОЗЫСКЕ</v>
          </cell>
          <cell r="E892"/>
          <cell r="F892"/>
          <cell r="G892" t="str">
            <v>Только под полную стоимость оборудования</v>
          </cell>
        </row>
        <row r="893">
          <cell r="A893" t="str">
            <v>Мурадов Мухаммед Иведуллаевич</v>
          </cell>
          <cell r="B893">
            <v>31073</v>
          </cell>
          <cell r="C893" t="str">
            <v>НЕВЫДАВАТЬ</v>
          </cell>
          <cell r="D893" t="str">
            <v>В РОЗЫСКЕ</v>
          </cell>
          <cell r="E893"/>
          <cell r="F893"/>
          <cell r="G893" t="str">
            <v>Только под полную стоимость оборудования</v>
          </cell>
        </row>
        <row r="894">
          <cell r="A894" t="str">
            <v>Мурадуллаев Аброр Акрамович</v>
          </cell>
          <cell r="B894" t="str">
            <v>01.07.1992   .</v>
          </cell>
          <cell r="C894" t="str">
            <v>НЕВЫДАВАТЬ</v>
          </cell>
          <cell r="D894" t="str">
            <v>В РОЗЫСКЕ</v>
          </cell>
          <cell r="E894"/>
          <cell r="F894"/>
          <cell r="G894" t="str">
            <v>Только под полную стоимость оборудования</v>
          </cell>
        </row>
        <row r="895">
          <cell r="A895" t="str">
            <v xml:space="preserve">Муратов Курманбек Асанбаевич </v>
          </cell>
          <cell r="B895">
            <v>21954</v>
          </cell>
          <cell r="C895" t="str">
            <v>НЕВЫДАВАТЬ</v>
          </cell>
          <cell r="D895" t="str">
            <v>В РОЗЫСКЕ</v>
          </cell>
          <cell r="E895"/>
          <cell r="F895"/>
          <cell r="G895" t="str">
            <v>Только под полную стоимость оборудования</v>
          </cell>
        </row>
        <row r="896">
          <cell r="A896" t="str">
            <v>Мурзаев Эргеш Абдурахманович</v>
          </cell>
          <cell r="B896">
            <v>24902</v>
          </cell>
          <cell r="C896" t="str">
            <v>НЕВЫДАВАТЬ</v>
          </cell>
          <cell r="D896" t="str">
            <v>В РОЗЫСКЕ</v>
          </cell>
          <cell r="E896"/>
          <cell r="F896"/>
          <cell r="G896" t="str">
            <v>Только под полную стоимость оборудования</v>
          </cell>
        </row>
        <row r="897">
          <cell r="A897" t="str">
            <v xml:space="preserve">Мусаев Жалил Жумагулович </v>
          </cell>
          <cell r="B897">
            <v>19911</v>
          </cell>
          <cell r="C897" t="str">
            <v>НЕВЫДАВАТЬ</v>
          </cell>
          <cell r="D897" t="str">
            <v>В РОЗЫСКЕ</v>
          </cell>
          <cell r="E897"/>
          <cell r="F897"/>
          <cell r="G897" t="str">
            <v>Только под полную стоимость оборудования</v>
          </cell>
        </row>
        <row r="898">
          <cell r="A898" t="str">
            <v xml:space="preserve">Мусаев Уткир Айсаевич </v>
          </cell>
          <cell r="B898">
            <v>20715</v>
          </cell>
          <cell r="C898" t="str">
            <v>НЕВЫДАВАТЬ</v>
          </cell>
          <cell r="D898" t="str">
            <v>В РОЗЫСКЕ</v>
          </cell>
          <cell r="E898"/>
          <cell r="F898"/>
          <cell r="G898" t="str">
            <v>Только под полную стоимость оборудования</v>
          </cell>
        </row>
        <row r="899">
          <cell r="A899" t="str">
            <v xml:space="preserve">Мухин Михаил Викторович </v>
          </cell>
          <cell r="B899">
            <v>22355</v>
          </cell>
          <cell r="C899" t="str">
            <v>НЕВЫДАВАТЬ</v>
          </cell>
          <cell r="D899" t="str">
            <v>В РОЗЫСКЕ</v>
          </cell>
          <cell r="E899"/>
          <cell r="F899"/>
          <cell r="G899" t="str">
            <v>Только под полную стоимость оборудования</v>
          </cell>
        </row>
        <row r="900">
          <cell r="A900" t="str">
            <v>Мыйсанов Усенбек Сыдыкбекович</v>
          </cell>
          <cell r="B900">
            <v>20992</v>
          </cell>
          <cell r="C900" t="str">
            <v>НЕВЫДАВАТЬ</v>
          </cell>
          <cell r="D900" t="str">
            <v>В РОЗЫСКЕ</v>
          </cell>
          <cell r="E900"/>
          <cell r="F900"/>
          <cell r="G900" t="str">
            <v>Только под полную стоимость оборудования</v>
          </cell>
        </row>
        <row r="901">
          <cell r="A901" t="str">
            <v>Мыкыев Нурбек Эрназарович</v>
          </cell>
          <cell r="B901">
            <v>23329</v>
          </cell>
          <cell r="C901" t="str">
            <v>НЕВЫДАВАТЬ</v>
          </cell>
          <cell r="D901" t="str">
            <v>В РОЗЫСКЕ</v>
          </cell>
          <cell r="E901"/>
          <cell r="F901"/>
          <cell r="G901" t="str">
            <v>Только под полную стоимость оборудования</v>
          </cell>
        </row>
        <row r="902">
          <cell r="A902" t="str">
            <v>Назарбаев Болот Шамбетович</v>
          </cell>
          <cell r="B902">
            <v>24972</v>
          </cell>
          <cell r="C902" t="str">
            <v>НЕВЫДАВАТЬ</v>
          </cell>
          <cell r="D902" t="str">
            <v>В РОЗЫСКЕ</v>
          </cell>
          <cell r="E902"/>
          <cell r="F902"/>
          <cell r="G902" t="str">
            <v>Только под полную стоимость оборудования</v>
          </cell>
        </row>
        <row r="903">
          <cell r="A903" t="str">
            <v>Назаркулов Исламбек Омуржанович</v>
          </cell>
          <cell r="B903">
            <v>29397</v>
          </cell>
          <cell r="C903" t="str">
            <v>НЕВЫДАВАТЬ</v>
          </cell>
          <cell r="D903" t="str">
            <v>В РОЗЫСКЕ</v>
          </cell>
          <cell r="E903"/>
          <cell r="F903"/>
          <cell r="G903" t="str">
            <v>Только под полную стоимость оборудования</v>
          </cell>
        </row>
        <row r="904">
          <cell r="A904" t="str">
            <v>Назин Михаил Алексеевич</v>
          </cell>
          <cell r="B904">
            <v>25166</v>
          </cell>
          <cell r="C904" t="str">
            <v>НЕВЫДАВАТЬ</v>
          </cell>
          <cell r="D904" t="str">
            <v>В РОЗЫСКЕ</v>
          </cell>
          <cell r="E904"/>
          <cell r="F904"/>
          <cell r="G904" t="str">
            <v>Только под полную стоимость оборудования</v>
          </cell>
        </row>
        <row r="905">
          <cell r="A905" t="str">
            <v>Назиров Гуламжан Ахмедович</v>
          </cell>
          <cell r="B905">
            <v>23243</v>
          </cell>
          <cell r="C905" t="str">
            <v>НЕВЫДАВАТЬ</v>
          </cell>
          <cell r="D905" t="str">
            <v>В РОЗЫСКЕ</v>
          </cell>
          <cell r="E905"/>
          <cell r="F905"/>
          <cell r="G905" t="str">
            <v>Только под полную стоимость оборудования</v>
          </cell>
        </row>
        <row r="906">
          <cell r="A906" t="str">
            <v>Нарбаев Алмаз Молдалыевич</v>
          </cell>
          <cell r="B906">
            <v>25665</v>
          </cell>
          <cell r="C906" t="str">
            <v>НЕВЫДАВАТЬ</v>
          </cell>
          <cell r="D906" t="str">
            <v>В РОЗЫСКЕ</v>
          </cell>
          <cell r="E906"/>
          <cell r="F906"/>
          <cell r="G906" t="str">
            <v>Только под полную стоимость оборудования</v>
          </cell>
        </row>
        <row r="907">
          <cell r="A907" t="str">
            <v>Нарзуллоев Севдийор Мадийорович</v>
          </cell>
          <cell r="B907">
            <v>30204</v>
          </cell>
          <cell r="C907" t="str">
            <v>НЕВЫДАВАТЬ</v>
          </cell>
          <cell r="D907" t="str">
            <v>В РОЗЫСКЕ</v>
          </cell>
          <cell r="E907"/>
          <cell r="F907"/>
          <cell r="G907" t="str">
            <v>Только под полную стоимость оборудования</v>
          </cell>
        </row>
        <row r="908">
          <cell r="A908" t="str">
            <v>Нарматов Тимур Абленович</v>
          </cell>
          <cell r="B908">
            <v>24569</v>
          </cell>
          <cell r="C908" t="str">
            <v>НЕВЫДАВАТЬ</v>
          </cell>
          <cell r="D908" t="str">
            <v>В РОЗЫСКЕ</v>
          </cell>
          <cell r="E908"/>
          <cell r="F908"/>
          <cell r="G908" t="str">
            <v>Только под полную стоимость оборудования</v>
          </cell>
        </row>
        <row r="909">
          <cell r="A909" t="str">
            <v>Немцуров Алексей Александрович</v>
          </cell>
          <cell r="B909">
            <v>27884</v>
          </cell>
          <cell r="C909" t="str">
            <v>НЕВЫДАВАТЬ</v>
          </cell>
          <cell r="D909" t="str">
            <v>В РОЗЫСКЕ</v>
          </cell>
          <cell r="E909"/>
          <cell r="F909"/>
          <cell r="G909" t="str">
            <v>Только под полную стоимость оборудования</v>
          </cell>
        </row>
        <row r="910">
          <cell r="A910" t="str">
            <v>Нестеренко Владислав Владимирович</v>
          </cell>
          <cell r="B910">
            <v>27409</v>
          </cell>
          <cell r="C910" t="str">
            <v>НЕВЫДАВАТЬ</v>
          </cell>
          <cell r="D910" t="str">
            <v>В РОЗЫСКЕ</v>
          </cell>
          <cell r="E910"/>
          <cell r="F910"/>
          <cell r="G910" t="str">
            <v>Только под полную стоимость оборудования</v>
          </cell>
        </row>
        <row r="911">
          <cell r="A911" t="str">
            <v>Неумывакин Александр Владимирович</v>
          </cell>
          <cell r="B911">
            <v>28754</v>
          </cell>
          <cell r="C911" t="str">
            <v>НЕВЫДАВАТЬ</v>
          </cell>
          <cell r="D911" t="str">
            <v>В РОЗЫСКЕ</v>
          </cell>
          <cell r="E911"/>
          <cell r="F911"/>
          <cell r="G911" t="str">
            <v>Только под полную стоимость оборудования</v>
          </cell>
        </row>
        <row r="912">
          <cell r="A912" t="str">
            <v>Никонов Алексей Юрьевич</v>
          </cell>
          <cell r="B912">
            <v>28549</v>
          </cell>
          <cell r="C912" t="str">
            <v>НЕВЫДАВАТЬ</v>
          </cell>
          <cell r="D912" t="str">
            <v>В РОЗЫСКЕ</v>
          </cell>
          <cell r="E912"/>
          <cell r="F912"/>
          <cell r="G912" t="str">
            <v>Только под полную стоимость оборудования</v>
          </cell>
        </row>
        <row r="913">
          <cell r="A913" t="str">
            <v>Новиков Александр Григорьевич</v>
          </cell>
          <cell r="B913">
            <v>24595</v>
          </cell>
          <cell r="C913" t="str">
            <v>НЕВЫДАВАТЬ</v>
          </cell>
          <cell r="D913" t="str">
            <v>В РОЗЫСКЕ</v>
          </cell>
          <cell r="E913"/>
          <cell r="F913"/>
          <cell r="G913" t="str">
            <v>Только под полную стоимость оборудования</v>
          </cell>
        </row>
        <row r="914">
          <cell r="A914" t="str">
            <v>Новиков Владимир Владимирович</v>
          </cell>
          <cell r="B914">
            <v>28239</v>
          </cell>
          <cell r="C914" t="str">
            <v>НЕВЫДАВАТЬ</v>
          </cell>
          <cell r="D914" t="str">
            <v>В РОЗЫСКЕ</v>
          </cell>
          <cell r="E914"/>
          <cell r="F914"/>
          <cell r="G914" t="str">
            <v>Только под полную стоимость оборудования</v>
          </cell>
        </row>
        <row r="915">
          <cell r="A915" t="str">
            <v>Новиков Павел Васильевич</v>
          </cell>
          <cell r="B915">
            <v>25545</v>
          </cell>
          <cell r="C915" t="str">
            <v>НЕВЫДАВАТЬ</v>
          </cell>
          <cell r="D915" t="str">
            <v>В РОЗЫСКЕ</v>
          </cell>
          <cell r="E915"/>
          <cell r="F915"/>
          <cell r="G915" t="str">
            <v>Только под полную стоимость оборудования</v>
          </cell>
        </row>
        <row r="916">
          <cell r="A916" t="str">
            <v>Ногойбаев Канатбек Сабырович</v>
          </cell>
          <cell r="B916">
            <v>25350</v>
          </cell>
          <cell r="C916" t="str">
            <v>НЕВЫДАВАТЬ</v>
          </cell>
          <cell r="D916" t="str">
            <v>В РОЗЫСКЕ</v>
          </cell>
          <cell r="E916"/>
          <cell r="F916"/>
          <cell r="G916" t="str">
            <v>Только под полную стоимость оборудования</v>
          </cell>
        </row>
        <row r="917">
          <cell r="A917" t="str">
            <v>Носов Александр Васильевич</v>
          </cell>
          <cell r="B917">
            <v>19377</v>
          </cell>
          <cell r="C917" t="str">
            <v>НЕВЫДАВАТЬ</v>
          </cell>
          <cell r="D917" t="str">
            <v>В РОЗЫСКЕ</v>
          </cell>
          <cell r="E917"/>
          <cell r="F917"/>
          <cell r="G917" t="str">
            <v>Только под полную стоимость оборудования</v>
          </cell>
        </row>
        <row r="918">
          <cell r="A918" t="str">
            <v>Нураев Мырзабек Мыйзамович</v>
          </cell>
          <cell r="B918">
            <v>23431</v>
          </cell>
          <cell r="C918" t="str">
            <v>НЕВЫДАВАТЬ</v>
          </cell>
          <cell r="D918" t="str">
            <v>В РОЗЫСКЕ</v>
          </cell>
          <cell r="E918"/>
          <cell r="F918"/>
          <cell r="G918" t="str">
            <v>Только под полную стоимость оборудования</v>
          </cell>
        </row>
        <row r="919">
          <cell r="A919" t="str">
            <v>Нуралиев Абдыкаим Турсунович</v>
          </cell>
          <cell r="B919">
            <v>27271</v>
          </cell>
          <cell r="C919" t="str">
            <v>НЕВЫДАВАТЬ</v>
          </cell>
          <cell r="D919" t="str">
            <v>В РОЗЫСКЕ</v>
          </cell>
          <cell r="E919"/>
          <cell r="F919"/>
          <cell r="G919" t="str">
            <v>Только под полную стоимость оборудования</v>
          </cell>
        </row>
        <row r="920">
          <cell r="A920" t="str">
            <v>Нурбагандов Магамед Ибрагимович</v>
          </cell>
          <cell r="B920">
            <v>21350</v>
          </cell>
          <cell r="C920" t="str">
            <v>НЕВЫДАВАТЬ</v>
          </cell>
          <cell r="D920" t="str">
            <v>В РОЗЫСКЕ</v>
          </cell>
          <cell r="E920"/>
          <cell r="F920"/>
          <cell r="G920" t="str">
            <v>Только под полную стоимость оборудования</v>
          </cell>
        </row>
        <row r="921">
          <cell r="A921" t="str">
            <v xml:space="preserve">Нурдалиев Бахтияр Туратбекович </v>
          </cell>
          <cell r="B921">
            <v>31735</v>
          </cell>
          <cell r="C921" t="str">
            <v>НЕВЫДАВАТЬ</v>
          </cell>
          <cell r="D921" t="str">
            <v>В РОЗЫСКЕ</v>
          </cell>
          <cell r="E921"/>
          <cell r="F921"/>
          <cell r="G921" t="str">
            <v>Только под полную стоимость оборудования</v>
          </cell>
        </row>
        <row r="922">
          <cell r="A922" t="str">
            <v>Нурдинов Махамаджан Раимжанович</v>
          </cell>
          <cell r="B922">
            <v>22535</v>
          </cell>
          <cell r="C922" t="str">
            <v>НЕВЫДАВАТЬ</v>
          </cell>
          <cell r="D922" t="str">
            <v>В РОЗЫСКЕ</v>
          </cell>
          <cell r="E922"/>
          <cell r="F922"/>
          <cell r="G922" t="str">
            <v>Только под полную стоимость оборудования</v>
          </cell>
        </row>
        <row r="923">
          <cell r="A923" t="str">
            <v>Нуримов Шарипжан Талипжанович</v>
          </cell>
          <cell r="B923">
            <v>30892</v>
          </cell>
          <cell r="C923" t="str">
            <v>НЕВЫДАВАТЬ</v>
          </cell>
          <cell r="D923" t="str">
            <v>В РОЗЫСКЕ</v>
          </cell>
          <cell r="E923"/>
          <cell r="F923"/>
          <cell r="G923" t="str">
            <v>Только под полную стоимость оборудования</v>
          </cell>
        </row>
        <row r="924">
          <cell r="A924" t="str">
            <v>Нуритдинов Хуснутдун Шамситдинович</v>
          </cell>
          <cell r="B924" t="str">
            <v>19.01.1981   .</v>
          </cell>
          <cell r="C924" t="str">
            <v>НЕВЫДАВАТЬ</v>
          </cell>
          <cell r="D924" t="str">
            <v>В РОЗЫСКЕ</v>
          </cell>
          <cell r="E924"/>
          <cell r="F924"/>
          <cell r="G924" t="str">
            <v>Только под полную стоимость оборудования</v>
          </cell>
        </row>
        <row r="925">
          <cell r="A925" t="str">
            <v>Нурмаматов Эрлан Абдирайымович</v>
          </cell>
          <cell r="B925">
            <v>32188</v>
          </cell>
          <cell r="C925" t="str">
            <v>НЕВЫДАВАТЬ</v>
          </cell>
          <cell r="D925" t="str">
            <v>В РОЗЫСКЕ</v>
          </cell>
          <cell r="E925"/>
          <cell r="F925"/>
          <cell r="G925" t="str">
            <v>Только под полную стоимость оборудования</v>
          </cell>
        </row>
        <row r="926">
          <cell r="A926" t="str">
            <v xml:space="preserve">Нурматов Абдухалил Мамырович </v>
          </cell>
          <cell r="B926">
            <v>23728</v>
          </cell>
          <cell r="C926" t="str">
            <v>НЕВЫДАВАТЬ</v>
          </cell>
          <cell r="D926" t="str">
            <v>В РОЗЫСКЕ</v>
          </cell>
          <cell r="E926"/>
          <cell r="F926"/>
          <cell r="G926" t="str">
            <v>Только под полную стоимость оборудования</v>
          </cell>
        </row>
        <row r="927">
          <cell r="A927" t="str">
            <v xml:space="preserve">Нурматов Нарынбек Нургазиевич </v>
          </cell>
          <cell r="B927">
            <v>27058</v>
          </cell>
          <cell r="C927" t="str">
            <v>НЕВЫДАВАТЬ</v>
          </cell>
          <cell r="D927" t="str">
            <v>В РОЗЫСКЕ</v>
          </cell>
          <cell r="E927"/>
          <cell r="F927"/>
          <cell r="G927" t="str">
            <v>Только под полную стоимость оборудования</v>
          </cell>
        </row>
        <row r="928">
          <cell r="A928" t="str">
            <v xml:space="preserve">Нурматов Смаилбек Нурканович </v>
          </cell>
          <cell r="B928">
            <v>26135</v>
          </cell>
          <cell r="C928" t="str">
            <v>НЕВЫДАВАТЬ</v>
          </cell>
          <cell r="D928" t="str">
            <v>В РОЗЫСКЕ</v>
          </cell>
          <cell r="E928"/>
          <cell r="F928"/>
          <cell r="G928" t="str">
            <v>Только под полную стоимость оборудования</v>
          </cell>
        </row>
        <row r="929">
          <cell r="A929" t="str">
            <v>Нуртдинов Марат Вильевич</v>
          </cell>
          <cell r="B929">
            <v>25707</v>
          </cell>
          <cell r="C929" t="str">
            <v>НЕВЫДАВАТЬ</v>
          </cell>
          <cell r="D929" t="str">
            <v>В РОЗЫСКЕ</v>
          </cell>
          <cell r="E929"/>
          <cell r="F929"/>
          <cell r="G929" t="str">
            <v>Только под полную стоимость оборудования</v>
          </cell>
        </row>
        <row r="930">
          <cell r="A930" t="str">
            <v>Овчаров Дмитрий Дмитриевич</v>
          </cell>
          <cell r="B930">
            <v>30966</v>
          </cell>
          <cell r="C930" t="str">
            <v>НЕВЫДАВАТЬ</v>
          </cell>
          <cell r="D930" t="str">
            <v>В РОЗЫСКЕ</v>
          </cell>
          <cell r="E930"/>
          <cell r="F930"/>
          <cell r="G930" t="str">
            <v>Только под полную стоимость оборудования</v>
          </cell>
        </row>
        <row r="931">
          <cell r="A931" t="str">
            <v>Овчаров Дмитрий Дмитриевич</v>
          </cell>
          <cell r="B931">
            <v>30966</v>
          </cell>
          <cell r="C931" t="str">
            <v>НЕВЫДАВАТЬ</v>
          </cell>
          <cell r="D931" t="str">
            <v>В РОЗЫСКЕ</v>
          </cell>
          <cell r="E931"/>
          <cell r="F931"/>
          <cell r="G931" t="str">
            <v>Только под полную стоимость оборудования</v>
          </cell>
        </row>
        <row r="932">
          <cell r="A932" t="str">
            <v>Одилов Махамадусман Маматкаримович</v>
          </cell>
          <cell r="B932">
            <v>29379</v>
          </cell>
          <cell r="C932" t="str">
            <v>НЕВЫДАВАТЬ</v>
          </cell>
          <cell r="D932" t="str">
            <v>В РОЗЫСКЕ</v>
          </cell>
          <cell r="E932"/>
          <cell r="F932"/>
          <cell r="G932" t="str">
            <v>Только под полную стоимость оборудования</v>
          </cell>
        </row>
        <row r="933">
          <cell r="A933" t="str">
            <v>Окотоев Омурзак Кокуевич</v>
          </cell>
          <cell r="B933">
            <v>23765</v>
          </cell>
          <cell r="C933" t="str">
            <v>НЕВЫДАВАТЬ</v>
          </cell>
          <cell r="D933" t="str">
            <v>В РОЗЫСКЕ</v>
          </cell>
          <cell r="E933"/>
          <cell r="F933"/>
          <cell r="G933" t="str">
            <v>Только под полную стоимость оборудования</v>
          </cell>
        </row>
        <row r="934">
          <cell r="A934" t="str">
            <v xml:space="preserve">Олейник Виталий Владиславович </v>
          </cell>
          <cell r="B934">
            <v>26378</v>
          </cell>
          <cell r="C934" t="str">
            <v>НЕВЫДАВАТЬ</v>
          </cell>
          <cell r="D934" t="str">
            <v>В РОЗЫСКЕ</v>
          </cell>
          <cell r="E934"/>
          <cell r="F934"/>
          <cell r="G934" t="str">
            <v>Только под полную стоимость оборудования</v>
          </cell>
        </row>
        <row r="935">
          <cell r="A935" t="str">
            <v>Оленбергер Вячеслав Хусейнович</v>
          </cell>
          <cell r="B935">
            <v>27816</v>
          </cell>
          <cell r="C935" t="str">
            <v>НЕВЫДАВАТЬ</v>
          </cell>
          <cell r="D935" t="str">
            <v>В РОЗЫСКЕ</v>
          </cell>
          <cell r="E935"/>
          <cell r="F935"/>
          <cell r="G935" t="str">
            <v>Только под полную стоимость оборудования</v>
          </cell>
        </row>
        <row r="936">
          <cell r="A936" t="str">
            <v>Олимов Галибжан Талибжанович</v>
          </cell>
          <cell r="B936">
            <v>32053</v>
          </cell>
          <cell r="C936" t="str">
            <v>НЕВЫДАВАТЬ</v>
          </cell>
          <cell r="D936" t="str">
            <v>В РОЗЫСКЕ</v>
          </cell>
          <cell r="E936"/>
          <cell r="F936"/>
          <cell r="G936" t="str">
            <v>Только под полную стоимость оборудования</v>
          </cell>
        </row>
        <row r="937">
          <cell r="A937" t="str">
            <v>Омаров Талгат Алишерович</v>
          </cell>
          <cell r="B937">
            <v>26523</v>
          </cell>
          <cell r="C937" t="str">
            <v>НЕВЫДАВАТЬ</v>
          </cell>
          <cell r="D937" t="str">
            <v>В РОЗЫСКЕ</v>
          </cell>
          <cell r="E937"/>
          <cell r="F937"/>
          <cell r="G937" t="str">
            <v>Только под полную стоимость оборудования</v>
          </cell>
        </row>
        <row r="938">
          <cell r="A938" t="str">
            <v>Оморов Жээнбек Шайырбекович</v>
          </cell>
          <cell r="B938">
            <v>27958</v>
          </cell>
          <cell r="C938" t="str">
            <v>НЕВЫДАВАТЬ</v>
          </cell>
          <cell r="D938" t="str">
            <v>В РОЗЫСКЕ</v>
          </cell>
          <cell r="E938"/>
          <cell r="F938"/>
          <cell r="G938" t="str">
            <v>Только под полную стоимость оборудования</v>
          </cell>
        </row>
        <row r="939">
          <cell r="A939" t="str">
            <v>Оморов Марат Исмаилович</v>
          </cell>
          <cell r="B939">
            <v>23078</v>
          </cell>
          <cell r="C939" t="str">
            <v>НЕВЫДАВАТЬ</v>
          </cell>
          <cell r="D939" t="str">
            <v>В РОЗЫСКЕ</v>
          </cell>
          <cell r="E939"/>
          <cell r="F939"/>
          <cell r="G939" t="str">
            <v>Только под полную стоимость оборудования</v>
          </cell>
        </row>
        <row r="940">
          <cell r="A940" t="str">
            <v>Оморов Тынчтык Таштанбекович</v>
          </cell>
          <cell r="B940">
            <v>29441</v>
          </cell>
          <cell r="C940" t="str">
            <v>НЕВЫДАВАТЬ</v>
          </cell>
          <cell r="D940" t="str">
            <v>В РОЗЫСКЕ</v>
          </cell>
          <cell r="E940"/>
          <cell r="F940"/>
          <cell r="G940" t="str">
            <v>Только под полную стоимость оборудования</v>
          </cell>
        </row>
        <row r="941">
          <cell r="A941" t="str">
            <v>Омошев Умуталы Жусуевич</v>
          </cell>
          <cell r="B941">
            <v>23836</v>
          </cell>
          <cell r="C941" t="str">
            <v>НЕВЫДАВАТЬ</v>
          </cell>
          <cell r="D941" t="str">
            <v>В РОЗЫСКЕ</v>
          </cell>
          <cell r="E941"/>
          <cell r="F941"/>
          <cell r="G941" t="str">
            <v>Только под полную стоимость оборудования</v>
          </cell>
        </row>
        <row r="942">
          <cell r="A942" t="str">
            <v>Омуралиев Анвар Дайырбекович</v>
          </cell>
          <cell r="B942">
            <v>33223</v>
          </cell>
          <cell r="C942" t="str">
            <v>НЕВЫДАВАТЬ</v>
          </cell>
          <cell r="D942" t="str">
            <v>В РОЗЫСКЕ</v>
          </cell>
          <cell r="E942"/>
          <cell r="F942"/>
          <cell r="G942" t="str">
            <v>Только под полную стоимость оборудования</v>
          </cell>
        </row>
        <row r="943">
          <cell r="A943" t="str">
            <v>Омурзаков Болот Жолдошалиевич</v>
          </cell>
          <cell r="B943">
            <v>23775</v>
          </cell>
          <cell r="C943" t="str">
            <v>НЕВЫДАВАТЬ</v>
          </cell>
          <cell r="D943" t="str">
            <v>В РОЗЫСКЕ</v>
          </cell>
          <cell r="E943"/>
          <cell r="F943"/>
          <cell r="G943" t="str">
            <v>Только под полную стоимость оборудования</v>
          </cell>
        </row>
        <row r="944">
          <cell r="A944" t="str">
            <v>Омушев Мыктыбек Акжолтоевич</v>
          </cell>
          <cell r="B944">
            <v>27112</v>
          </cell>
          <cell r="C944" t="str">
            <v>НЕВЫДАВАТЬ</v>
          </cell>
          <cell r="D944" t="str">
            <v>В РОЗЫСКЕ</v>
          </cell>
          <cell r="E944"/>
          <cell r="F944"/>
          <cell r="G944" t="str">
            <v>Только под полную стоимость оборудования</v>
          </cell>
        </row>
        <row r="945">
          <cell r="A945" t="str">
            <v xml:space="preserve">Орифов Иньомиддин Шарифович </v>
          </cell>
          <cell r="B945">
            <v>31931</v>
          </cell>
          <cell r="C945" t="str">
            <v>НЕВЫДАВАТЬ</v>
          </cell>
          <cell r="D945" t="str">
            <v>В РОЗЫСКЕ</v>
          </cell>
          <cell r="E945"/>
          <cell r="F945"/>
          <cell r="G945" t="str">
            <v>Только под полную стоимость оборудования</v>
          </cell>
        </row>
        <row r="946">
          <cell r="A946" t="str">
            <v>Орлов Александр Васильевич</v>
          </cell>
          <cell r="B946" t="str">
            <v>11.01.1961 .</v>
          </cell>
          <cell r="C946" t="str">
            <v>НЕВЫДАВАТЬ</v>
          </cell>
          <cell r="D946" t="str">
            <v>В РОЗЫСКЕ</v>
          </cell>
          <cell r="E946"/>
          <cell r="F946"/>
          <cell r="G946" t="str">
            <v>Только под полную стоимость оборудования</v>
          </cell>
        </row>
        <row r="947">
          <cell r="A947" t="str">
            <v>Орлов Валерий Степанович</v>
          </cell>
          <cell r="B947">
            <v>16497</v>
          </cell>
          <cell r="C947" t="str">
            <v>НЕВЫДАВАТЬ</v>
          </cell>
          <cell r="D947" t="str">
            <v>В РОЗЫСКЕ</v>
          </cell>
          <cell r="E947"/>
          <cell r="F947"/>
          <cell r="G947" t="str">
            <v>Только под полную стоимость оборудования</v>
          </cell>
        </row>
        <row r="948">
          <cell r="A948" t="str">
            <v>Орловская Валентина Васильевна</v>
          </cell>
          <cell r="B948">
            <v>25538</v>
          </cell>
          <cell r="C948" t="str">
            <v>НЕВЫДАВАТЬ</v>
          </cell>
          <cell r="D948" t="str">
            <v>В РОЗЫСКЕ</v>
          </cell>
          <cell r="E948"/>
          <cell r="F948"/>
          <cell r="G948" t="str">
            <v>Только под полную стоимость оборудования</v>
          </cell>
        </row>
        <row r="949">
          <cell r="A949" t="str">
            <v>Ормонова Турдукан Тургунбаевна</v>
          </cell>
          <cell r="B949">
            <v>22769</v>
          </cell>
          <cell r="C949" t="str">
            <v>НЕВЫДАВАТЬ</v>
          </cell>
          <cell r="D949" t="str">
            <v>В РОЗЫСКЕ</v>
          </cell>
          <cell r="E949"/>
          <cell r="F949"/>
          <cell r="G949" t="str">
            <v>Только под полную стоимость оборудования</v>
          </cell>
        </row>
        <row r="950">
          <cell r="A950" t="str">
            <v>Орозов Майрамбек Турниязович</v>
          </cell>
          <cell r="B950">
            <v>24418</v>
          </cell>
          <cell r="C950" t="str">
            <v>НЕВЫДАВАТЬ</v>
          </cell>
          <cell r="D950" t="str">
            <v>В РОЗЫСКЕ</v>
          </cell>
          <cell r="E950"/>
          <cell r="F950"/>
          <cell r="G950" t="str">
            <v>Только под полную стоимость оборудования</v>
          </cell>
        </row>
        <row r="951">
          <cell r="A951" t="str">
            <v>Осмонов Абдыкерим Мызыраимович</v>
          </cell>
          <cell r="B951">
            <v>23012</v>
          </cell>
          <cell r="C951" t="str">
            <v>НЕВЫДАВАТЬ</v>
          </cell>
          <cell r="D951" t="str">
            <v>В РОЗЫСКЕ</v>
          </cell>
          <cell r="E951"/>
          <cell r="F951"/>
          <cell r="G951" t="str">
            <v>Только под полную стоимость оборудования</v>
          </cell>
        </row>
        <row r="952">
          <cell r="A952" t="str">
            <v>Осмонов Алексей Хамидович</v>
          </cell>
          <cell r="B952">
            <v>27986</v>
          </cell>
          <cell r="C952" t="str">
            <v>НЕВЫДАВАТЬ</v>
          </cell>
          <cell r="D952" t="str">
            <v>В РОЗЫСКЕ</v>
          </cell>
          <cell r="E952"/>
          <cell r="F952"/>
          <cell r="G952" t="str">
            <v>Только под полную стоимость оборудования</v>
          </cell>
        </row>
        <row r="953">
          <cell r="A953" t="str">
            <v>Откидычев Сергей Николаевич</v>
          </cell>
          <cell r="B953">
            <v>25863</v>
          </cell>
          <cell r="C953" t="str">
            <v>НЕВЫДАВАТЬ</v>
          </cell>
          <cell r="D953" t="str">
            <v>В РОЗЫСКЕ</v>
          </cell>
          <cell r="E953"/>
          <cell r="F953"/>
          <cell r="G953" t="str">
            <v>Только под полную стоимость оборудования</v>
          </cell>
        </row>
        <row r="954">
          <cell r="A954" t="str">
            <v>Ошлаков Василий Михеевич</v>
          </cell>
          <cell r="B954">
            <v>20253</v>
          </cell>
          <cell r="C954" t="str">
            <v>НЕВЫДАВАТЬ</v>
          </cell>
          <cell r="D954" t="str">
            <v>В РОЗЫСКЕ</v>
          </cell>
          <cell r="E954"/>
          <cell r="F954"/>
          <cell r="G954" t="str">
            <v>Только под полную стоимость оборудования</v>
          </cell>
        </row>
        <row r="955">
          <cell r="A955" t="str">
            <v>Пак Константин Анатольевич</v>
          </cell>
          <cell r="B955">
            <v>30206</v>
          </cell>
          <cell r="C955" t="str">
            <v>НЕВЫДАВАТЬ</v>
          </cell>
          <cell r="D955" t="str">
            <v>В РОЗЫСКЕ</v>
          </cell>
          <cell r="E955"/>
          <cell r="F955"/>
          <cell r="G955" t="str">
            <v>Только под полную стоимость оборудования</v>
          </cell>
        </row>
        <row r="956">
          <cell r="A956" t="str">
            <v>Пак Эдуард Павлович</v>
          </cell>
          <cell r="B956">
            <v>28065</v>
          </cell>
          <cell r="C956" t="str">
            <v>НЕВЫДАВАТЬ</v>
          </cell>
          <cell r="D956" t="str">
            <v>В РОЗЫСКЕ</v>
          </cell>
          <cell r="E956"/>
          <cell r="F956"/>
          <cell r="G956" t="str">
            <v>Только под полную стоимость оборудования</v>
          </cell>
        </row>
        <row r="957">
          <cell r="A957" t="str">
            <v>Палов Денис Валерьевич</v>
          </cell>
          <cell r="B957">
            <v>28283</v>
          </cell>
          <cell r="C957" t="str">
            <v>НЕВЫДАВАТЬ</v>
          </cell>
          <cell r="D957" t="str">
            <v>В РОЗЫСКЕ</v>
          </cell>
          <cell r="E957"/>
          <cell r="F957"/>
          <cell r="G957" t="str">
            <v>Только под полную стоимость оборудования</v>
          </cell>
        </row>
        <row r="958">
          <cell r="A958" t="str">
            <v>Панин Андрей Николаевич</v>
          </cell>
          <cell r="B958">
            <v>26211</v>
          </cell>
          <cell r="C958" t="str">
            <v>НЕВЫДАВАТЬ</v>
          </cell>
          <cell r="D958" t="str">
            <v>В РОЗЫСКЕ</v>
          </cell>
          <cell r="E958"/>
          <cell r="F958"/>
          <cell r="G958" t="str">
            <v>Только под полную стоимость оборудования</v>
          </cell>
        </row>
        <row r="959">
          <cell r="A959" t="str">
            <v>Панкратов Александр Михайлович</v>
          </cell>
          <cell r="B959">
            <v>26205</v>
          </cell>
          <cell r="C959" t="str">
            <v>НЕВЫДАВАТЬ</v>
          </cell>
          <cell r="D959" t="str">
            <v>В РОЗЫСКЕ</v>
          </cell>
          <cell r="E959"/>
          <cell r="F959"/>
          <cell r="G959" t="str">
            <v>Только под полную стоимость оборудования</v>
          </cell>
        </row>
        <row r="960">
          <cell r="A960" t="str">
            <v>Паров Губар Лурович</v>
          </cell>
          <cell r="B960">
            <v>32822</v>
          </cell>
          <cell r="C960" t="str">
            <v>НЕВЫДАВАТЬ</v>
          </cell>
          <cell r="D960" t="str">
            <v>В РОЗЫСКЕ</v>
          </cell>
          <cell r="E960"/>
          <cell r="F960"/>
          <cell r="G960" t="str">
            <v>Только под полную стоимость оборудования</v>
          </cell>
        </row>
        <row r="961">
          <cell r="A961" t="str">
            <v>Парпиев Рустамжан Камилович</v>
          </cell>
          <cell r="B961">
            <v>27720</v>
          </cell>
          <cell r="C961" t="str">
            <v>НЕВЫДАВАТЬ</v>
          </cell>
          <cell r="D961" t="str">
            <v>В РОЗЫСКЕ</v>
          </cell>
          <cell r="E961"/>
          <cell r="F961"/>
          <cell r="G961" t="str">
            <v>Только под полную стоимость оборудования</v>
          </cell>
        </row>
        <row r="962">
          <cell r="A962" t="str">
            <v>Пархоменко Евгений Сергеевич</v>
          </cell>
          <cell r="B962">
            <v>26069</v>
          </cell>
          <cell r="C962" t="str">
            <v>НЕВЫДАВАТЬ</v>
          </cell>
          <cell r="D962" t="str">
            <v>В РОЗЫСКЕ</v>
          </cell>
          <cell r="E962"/>
          <cell r="F962"/>
          <cell r="G962" t="str">
            <v>Только под полную стоимость оборудования</v>
          </cell>
        </row>
        <row r="963">
          <cell r="A963" t="str">
            <v>Паттаев Данияр Абдрахманович</v>
          </cell>
          <cell r="B963">
            <v>26621</v>
          </cell>
          <cell r="C963" t="str">
            <v>НЕВЫДАВАТЬ</v>
          </cell>
          <cell r="D963" t="str">
            <v>В РОЗЫСКЕ</v>
          </cell>
          <cell r="E963"/>
          <cell r="F963"/>
          <cell r="G963" t="str">
            <v>Только под полную стоимость оборудования</v>
          </cell>
        </row>
        <row r="964">
          <cell r="A964" t="str">
            <v>Пашаев Белек Абдижалилович</v>
          </cell>
          <cell r="B964">
            <v>34619</v>
          </cell>
          <cell r="C964" t="str">
            <v>НЕВЫДАВАТЬ</v>
          </cell>
          <cell r="D964" t="str">
            <v>В РОЗЫСКЕ</v>
          </cell>
          <cell r="E964"/>
          <cell r="F964"/>
          <cell r="G964" t="str">
            <v>Только под полную стоимость оборудования</v>
          </cell>
        </row>
        <row r="965">
          <cell r="A965" t="str">
            <v>Пашов Александр Владимирович</v>
          </cell>
          <cell r="B965">
            <v>25356</v>
          </cell>
          <cell r="C965" t="str">
            <v>НЕВЫДАВАТЬ</v>
          </cell>
          <cell r="D965" t="str">
            <v>В РОЗЫСКЕ</v>
          </cell>
          <cell r="E965"/>
          <cell r="F965"/>
          <cell r="G965" t="str">
            <v>Только под полную стоимость оборудования</v>
          </cell>
        </row>
        <row r="966">
          <cell r="A966" t="str">
            <v>Перегудов Виктор Борисович</v>
          </cell>
          <cell r="B966">
            <v>20334</v>
          </cell>
          <cell r="C966" t="str">
            <v>НЕВЫДАВАТЬ</v>
          </cell>
          <cell r="D966" t="str">
            <v>В РОЗЫСКЕ</v>
          </cell>
          <cell r="E966"/>
          <cell r="F966"/>
          <cell r="G966" t="str">
            <v>Только под полную стоимость оборудования</v>
          </cell>
        </row>
        <row r="967">
          <cell r="A967" t="str">
            <v>Перелешин Сайдулла Сейсенович</v>
          </cell>
          <cell r="B967">
            <v>18783</v>
          </cell>
          <cell r="C967" t="str">
            <v>НЕВЫДАВАТЬ</v>
          </cell>
          <cell r="D967" t="str">
            <v>В РОЗЫСКЕ</v>
          </cell>
          <cell r="E967"/>
          <cell r="F967"/>
          <cell r="G967" t="str">
            <v>Только под полную стоимость оборудования</v>
          </cell>
        </row>
        <row r="968">
          <cell r="A968" t="str">
            <v>Першин Владимир Владимирович</v>
          </cell>
          <cell r="B968">
            <v>30144</v>
          </cell>
          <cell r="C968" t="str">
            <v>НЕВЫДАВАТЬ</v>
          </cell>
          <cell r="D968" t="str">
            <v>В РОЗЫСКЕ</v>
          </cell>
          <cell r="E968"/>
          <cell r="F968"/>
          <cell r="G968" t="str">
            <v>Только под полную стоимость оборудования</v>
          </cell>
        </row>
        <row r="969">
          <cell r="A969" t="str">
            <v>Петров Игорь Иванович</v>
          </cell>
          <cell r="B969">
            <v>26216</v>
          </cell>
          <cell r="C969" t="str">
            <v>НЕВЫДАВАТЬ</v>
          </cell>
          <cell r="D969" t="str">
            <v>В РОЗЫСКЕ</v>
          </cell>
          <cell r="E969"/>
          <cell r="F969"/>
          <cell r="G969" t="str">
            <v>Только под полную стоимость оборудования</v>
          </cell>
        </row>
        <row r="970">
          <cell r="A970" t="str">
            <v>Пиксис Зедонис Якович</v>
          </cell>
          <cell r="B970">
            <v>24328</v>
          </cell>
          <cell r="C970" t="str">
            <v>НЕВЫДАВАТЬ</v>
          </cell>
          <cell r="D970" t="str">
            <v>В РОЗЫСКЕ</v>
          </cell>
          <cell r="E970"/>
          <cell r="F970"/>
          <cell r="G970" t="str">
            <v>Только под полную стоимость оборудования</v>
          </cell>
        </row>
        <row r="971">
          <cell r="A971" t="str">
            <v>Пиназаров Абдумалик Абдумажитович</v>
          </cell>
          <cell r="B971">
            <v>27874</v>
          </cell>
          <cell r="C971" t="str">
            <v>НЕВЫДАВАТЬ</v>
          </cell>
          <cell r="D971" t="str">
            <v>В РОЗЫСКЕ</v>
          </cell>
          <cell r="E971"/>
          <cell r="F971"/>
          <cell r="G971" t="str">
            <v>Только под полную стоимость оборудования</v>
          </cell>
        </row>
        <row r="972">
          <cell r="A972" t="str">
            <v xml:space="preserve">Плеханов Алексей Владимирович </v>
          </cell>
          <cell r="B972">
            <v>27255</v>
          </cell>
          <cell r="C972" t="str">
            <v>НЕВЫДАВАТЬ</v>
          </cell>
          <cell r="D972" t="str">
            <v>В РОЗЫСКЕ</v>
          </cell>
          <cell r="E972"/>
          <cell r="F972"/>
          <cell r="G972" t="str">
            <v>Только под полную стоимость оборудования</v>
          </cell>
        </row>
        <row r="973">
          <cell r="A973" t="str">
            <v>Подгагулин Михаил Георгтевич</v>
          </cell>
          <cell r="B973">
            <v>18468</v>
          </cell>
          <cell r="C973" t="str">
            <v>НЕВЫДАВАТЬ</v>
          </cell>
          <cell r="D973" t="str">
            <v>В РОЗЫСКЕ</v>
          </cell>
          <cell r="E973"/>
          <cell r="F973"/>
          <cell r="G973" t="str">
            <v>Только под полную стоимость оборудования</v>
          </cell>
        </row>
        <row r="974">
          <cell r="A974" t="str">
            <v>Подильняк Владимир Николаевич</v>
          </cell>
          <cell r="B974">
            <v>24513</v>
          </cell>
          <cell r="C974" t="str">
            <v>НЕВЫДАВАТЬ</v>
          </cell>
          <cell r="D974" t="str">
            <v>В РОЗЫСКЕ</v>
          </cell>
          <cell r="E974"/>
          <cell r="F974"/>
          <cell r="G974" t="str">
            <v>Только под полную стоимость оборудования</v>
          </cell>
        </row>
        <row r="975">
          <cell r="A975" t="str">
            <v>Показеев Владимир Николаевич</v>
          </cell>
          <cell r="B975">
            <v>22241</v>
          </cell>
          <cell r="C975" t="str">
            <v>НЕВЫДАВАТЬ</v>
          </cell>
          <cell r="D975" t="str">
            <v>В РОЗЫСКЕ</v>
          </cell>
          <cell r="E975"/>
          <cell r="F975"/>
          <cell r="G975" t="str">
            <v>Только под полную стоимость оборудования</v>
          </cell>
        </row>
        <row r="976">
          <cell r="A976" t="str">
            <v xml:space="preserve">Полат Рахман </v>
          </cell>
          <cell r="B976">
            <v>25561</v>
          </cell>
          <cell r="C976" t="str">
            <v>НЕВЫДАВАТЬ</v>
          </cell>
          <cell r="D976" t="str">
            <v>В РОЗЫСКЕ</v>
          </cell>
          <cell r="E976"/>
          <cell r="F976"/>
          <cell r="G976" t="str">
            <v>Только под полную стоимость оборудования</v>
          </cell>
        </row>
        <row r="977">
          <cell r="A977" t="str">
            <v>Полещук Николай Николаевич</v>
          </cell>
          <cell r="B977">
            <v>25243</v>
          </cell>
          <cell r="C977" t="str">
            <v>НЕВЫДАВАТЬ</v>
          </cell>
          <cell r="D977" t="str">
            <v>В РОЗЫСКЕ</v>
          </cell>
          <cell r="E977"/>
          <cell r="F977"/>
          <cell r="G977" t="str">
            <v>Только под полную стоимость оборудования</v>
          </cell>
        </row>
        <row r="978">
          <cell r="A978" t="str">
            <v>Полиенко Александр Сергеевич</v>
          </cell>
          <cell r="B978">
            <v>21186</v>
          </cell>
          <cell r="C978" t="str">
            <v>НЕВЫДАВАТЬ</v>
          </cell>
          <cell r="D978" t="str">
            <v>В РОЗЫСКЕ</v>
          </cell>
          <cell r="E978"/>
          <cell r="F978"/>
          <cell r="G978" t="str">
            <v>Только под полную стоимость оборудования</v>
          </cell>
        </row>
        <row r="979">
          <cell r="A979" t="str">
            <v>Половинкин Александр Львович</v>
          </cell>
          <cell r="B979">
            <v>23460</v>
          </cell>
          <cell r="C979" t="str">
            <v>НЕВЫДАВАТЬ</v>
          </cell>
          <cell r="D979" t="str">
            <v>В РОЗЫСКЕ</v>
          </cell>
          <cell r="E979"/>
          <cell r="F979"/>
          <cell r="G979" t="str">
            <v>Только под полную стоимость оборудования</v>
          </cell>
        </row>
        <row r="980">
          <cell r="A980" t="str">
            <v>Поляков Александр Викторович</v>
          </cell>
          <cell r="B980">
            <v>26002</v>
          </cell>
          <cell r="C980" t="str">
            <v>НЕВЫДАВАТЬ</v>
          </cell>
          <cell r="D980" t="str">
            <v>В РОЗЫСКЕ</v>
          </cell>
          <cell r="E980"/>
          <cell r="F980"/>
          <cell r="G980" t="str">
            <v>Только под полную стоимость оборудования</v>
          </cell>
        </row>
        <row r="981">
          <cell r="A981" t="str">
            <v>Попов Алексей Викторович</v>
          </cell>
          <cell r="B981">
            <v>25607</v>
          </cell>
          <cell r="C981" t="str">
            <v>НЕВЫДАВАТЬ</v>
          </cell>
          <cell r="D981" t="str">
            <v>В РОЗЫСКЕ</v>
          </cell>
          <cell r="E981"/>
          <cell r="F981"/>
          <cell r="G981" t="str">
            <v>Только под полную стоимость оборудования</v>
          </cell>
        </row>
        <row r="982">
          <cell r="A982" t="str">
            <v>Попов Дмитрий Иванович</v>
          </cell>
          <cell r="B982">
            <v>26393</v>
          </cell>
          <cell r="C982" t="str">
            <v>НЕВЫДАВАТЬ</v>
          </cell>
          <cell r="D982" t="str">
            <v>В РОЗЫСКЕ</v>
          </cell>
          <cell r="E982"/>
          <cell r="F982"/>
          <cell r="G982" t="str">
            <v>Только под полную стоимость оборудования</v>
          </cell>
        </row>
        <row r="983">
          <cell r="A983" t="str">
            <v xml:space="preserve">Посохов Геннадий Иванович </v>
          </cell>
          <cell r="B983">
            <v>19387</v>
          </cell>
          <cell r="C983" t="str">
            <v>НЕВЫДАВАТЬ</v>
          </cell>
          <cell r="D983" t="str">
            <v>В РОЗЫСКЕ</v>
          </cell>
          <cell r="E983"/>
          <cell r="F983"/>
          <cell r="G983" t="str">
            <v>Только под полную стоимость оборудования</v>
          </cell>
        </row>
        <row r="984">
          <cell r="A984" t="str">
            <v xml:space="preserve">Пригодич Алексей Евгеньевич </v>
          </cell>
          <cell r="B984">
            <v>21995</v>
          </cell>
          <cell r="C984" t="str">
            <v>НЕВЫДАВАТЬ</v>
          </cell>
          <cell r="D984" t="str">
            <v>В РОЗЫСКЕ</v>
          </cell>
          <cell r="E984"/>
          <cell r="F984"/>
          <cell r="G984" t="str">
            <v>Только под полную стоимость оборудования</v>
          </cell>
        </row>
        <row r="985">
          <cell r="A985" t="str">
            <v xml:space="preserve">Пурик Михаил Павлович </v>
          </cell>
          <cell r="B985">
            <v>26161</v>
          </cell>
          <cell r="C985" t="str">
            <v>НЕВЫДАВАТЬ</v>
          </cell>
          <cell r="D985" t="str">
            <v>В РОЗЫСКЕ</v>
          </cell>
          <cell r="E985"/>
          <cell r="F985"/>
          <cell r="G985" t="str">
            <v>Только под полную стоимость оборудования</v>
          </cell>
        </row>
        <row r="986">
          <cell r="A986" t="str">
            <v>Пустыльник Валерий Александрович</v>
          </cell>
          <cell r="B986">
            <v>28021</v>
          </cell>
          <cell r="C986" t="str">
            <v>НЕВЫДАВАТЬ</v>
          </cell>
          <cell r="D986" t="str">
            <v>В РОЗЫСКЕ</v>
          </cell>
          <cell r="E986"/>
          <cell r="F986"/>
          <cell r="G986" t="str">
            <v>Только под полную стоимость оборудования</v>
          </cell>
        </row>
        <row r="987">
          <cell r="A987" t="str">
            <v>Пчелницев Владимир Иванович</v>
          </cell>
          <cell r="B987">
            <v>22292</v>
          </cell>
          <cell r="C987" t="str">
            <v>НЕВЫДАВАТЬ</v>
          </cell>
          <cell r="D987" t="str">
            <v>В РОЗЫСКЕ</v>
          </cell>
          <cell r="E987"/>
          <cell r="F987"/>
          <cell r="G987" t="str">
            <v>Только под полную стоимость оборудования</v>
          </cell>
        </row>
        <row r="988">
          <cell r="A988" t="str">
            <v>Пшеничников Петр Викторович</v>
          </cell>
          <cell r="B988">
            <v>21468</v>
          </cell>
          <cell r="C988" t="str">
            <v>НЕВЫДАВАТЬ</v>
          </cell>
          <cell r="D988" t="str">
            <v>В РОЗЫСКЕ</v>
          </cell>
          <cell r="E988"/>
          <cell r="F988"/>
          <cell r="G988" t="str">
            <v>Только под полную стоимость оборудования</v>
          </cell>
        </row>
        <row r="989">
          <cell r="A989" t="str">
            <v>Раджапов Сабид Сабырович</v>
          </cell>
          <cell r="B989">
            <v>27627</v>
          </cell>
          <cell r="C989" t="str">
            <v>НЕВЫДАВАТЬ</v>
          </cell>
          <cell r="D989" t="str">
            <v>В РОЗЫСКЕ</v>
          </cell>
          <cell r="E989"/>
          <cell r="F989"/>
          <cell r="G989" t="str">
            <v>Только под полную стоимость оборудования</v>
          </cell>
        </row>
        <row r="990">
          <cell r="A990" t="str">
            <v xml:space="preserve">Раимов Эраджа Мадикович </v>
          </cell>
          <cell r="B990">
            <v>24201</v>
          </cell>
          <cell r="C990" t="str">
            <v>НЕВЫДАВАТЬ</v>
          </cell>
          <cell r="D990" t="str">
            <v>В РОЗЫСКЕ</v>
          </cell>
          <cell r="E990"/>
          <cell r="F990"/>
          <cell r="G990" t="str">
            <v>Только под полную стоимость оборудования</v>
          </cell>
        </row>
        <row r="991">
          <cell r="A991" t="str">
            <v>Раимхудаев Давлатмурад Раманович</v>
          </cell>
          <cell r="B991">
            <v>22001</v>
          </cell>
          <cell r="C991" t="str">
            <v>НЕВЫДАВАТЬ</v>
          </cell>
          <cell r="D991" t="str">
            <v>В РОЗЫСКЕ</v>
          </cell>
          <cell r="E991"/>
          <cell r="F991"/>
          <cell r="G991" t="str">
            <v>Только под полную стоимость оборудования</v>
          </cell>
        </row>
        <row r="992">
          <cell r="A992" t="str">
            <v xml:space="preserve">Рахимбердиев Асад Ахмедович </v>
          </cell>
          <cell r="B992">
            <v>26140</v>
          </cell>
          <cell r="C992" t="str">
            <v>НЕВЫДАВАТЬ</v>
          </cell>
          <cell r="D992" t="str">
            <v>В РОЗЫСКЕ</v>
          </cell>
          <cell r="E992"/>
          <cell r="F992"/>
          <cell r="G992" t="str">
            <v>Только под полную стоимость оборудования</v>
          </cell>
        </row>
        <row r="993">
          <cell r="A993" t="str">
            <v>Рахимов Абдуахад Солибаевич</v>
          </cell>
          <cell r="B993">
            <v>29739</v>
          </cell>
          <cell r="C993" t="str">
            <v>НЕВЫДАВАТЬ</v>
          </cell>
          <cell r="D993" t="str">
            <v>В РОЗЫСКЕ</v>
          </cell>
          <cell r="E993"/>
          <cell r="F993"/>
          <cell r="G993" t="str">
            <v>Только под полную стоимость оборудования</v>
          </cell>
        </row>
        <row r="994">
          <cell r="A994" t="str">
            <v>Рахимов Ибрахим Ураимович</v>
          </cell>
          <cell r="B994">
            <v>21796</v>
          </cell>
          <cell r="C994" t="str">
            <v>НЕВЫДАВАТЬ</v>
          </cell>
          <cell r="D994" t="str">
            <v>В РОЗЫСКЕ</v>
          </cell>
          <cell r="E994"/>
          <cell r="F994"/>
          <cell r="G994" t="str">
            <v>Только под полную стоимость оборудования</v>
          </cell>
        </row>
        <row r="995">
          <cell r="A995" t="str">
            <v xml:space="preserve">Рахимов Муроджон Осимович </v>
          </cell>
          <cell r="B995">
            <v>30876</v>
          </cell>
          <cell r="C995" t="str">
            <v>НЕВЫДАВАТЬ</v>
          </cell>
          <cell r="D995" t="str">
            <v>В РОЗЫСКЕ</v>
          </cell>
          <cell r="E995"/>
          <cell r="F995"/>
          <cell r="G995" t="str">
            <v>Только под полную стоимость оборудования</v>
          </cell>
        </row>
        <row r="996">
          <cell r="A996" t="str">
            <v>Рахимов Шаимжан Шарифович</v>
          </cell>
          <cell r="B996">
            <v>30563</v>
          </cell>
          <cell r="C996" t="str">
            <v>НЕВЫДАВАТЬ</v>
          </cell>
          <cell r="D996" t="str">
            <v>В РОЗЫСКЕ</v>
          </cell>
          <cell r="E996"/>
          <cell r="F996"/>
          <cell r="G996" t="str">
            <v>Только под полную стоимость оборудования</v>
          </cell>
        </row>
        <row r="997">
          <cell r="A997" t="str">
            <v>Рахманов Нуридин Маматисаевич</v>
          </cell>
          <cell r="B997" t="str">
            <v>10.07.1984   .</v>
          </cell>
          <cell r="C997" t="str">
            <v>НЕВЫДАВАТЬ</v>
          </cell>
          <cell r="D997" t="str">
            <v>В РОЗЫСКЕ</v>
          </cell>
          <cell r="E997"/>
          <cell r="F997"/>
          <cell r="G997" t="str">
            <v>Только под полную стоимость оборудования</v>
          </cell>
        </row>
        <row r="998">
          <cell r="A998" t="str">
            <v>Рахманов Рузийбай Хаджиевич</v>
          </cell>
          <cell r="B998">
            <v>23747</v>
          </cell>
          <cell r="C998" t="str">
            <v>НЕВЫДАВАТЬ</v>
          </cell>
          <cell r="D998" t="str">
            <v>В РОЗЫСКЕ</v>
          </cell>
          <cell r="E998"/>
          <cell r="F998"/>
          <cell r="G998" t="str">
            <v>Только под полную стоимость оборудования</v>
          </cell>
        </row>
        <row r="999">
          <cell r="A999" t="str">
            <v>Рахматуллин Амир Дамирович</v>
          </cell>
          <cell r="B999">
            <v>22486</v>
          </cell>
          <cell r="C999" t="str">
            <v>НЕВЫДАВАТЬ</v>
          </cell>
          <cell r="D999" t="str">
            <v>В РОЗЫСКЕ</v>
          </cell>
          <cell r="E999"/>
          <cell r="F999"/>
          <cell r="G999" t="str">
            <v>Только под полную стоимость оборудования</v>
          </cell>
        </row>
        <row r="1000">
          <cell r="A1000" t="str">
            <v>Редких Александр Александрович</v>
          </cell>
          <cell r="B1000">
            <v>24588</v>
          </cell>
          <cell r="C1000" t="str">
            <v>НЕВЫДАВАТЬ</v>
          </cell>
          <cell r="D1000" t="str">
            <v>В РОЗЫСКЕ</v>
          </cell>
          <cell r="E1000"/>
          <cell r="F1000"/>
          <cell r="G1000" t="str">
            <v>Только под полную стоимость оборудования</v>
          </cell>
        </row>
        <row r="1001">
          <cell r="A1001" t="str">
            <v xml:space="preserve">Резинин Александр Леонидович </v>
          </cell>
          <cell r="B1001">
            <v>21350</v>
          </cell>
          <cell r="C1001" t="str">
            <v>НЕВЫДАВАТЬ</v>
          </cell>
          <cell r="D1001" t="str">
            <v>В РОЗЫСКЕ</v>
          </cell>
          <cell r="E1001"/>
          <cell r="F1001"/>
          <cell r="G1001" t="str">
            <v>Только под полную стоимость оборудования</v>
          </cell>
        </row>
        <row r="1002">
          <cell r="A1002" t="str">
            <v>Реньзяев Геннадий Геннадьевич</v>
          </cell>
          <cell r="B1002">
            <v>27977</v>
          </cell>
          <cell r="C1002" t="str">
            <v>НЕВЫДАВАТЬ</v>
          </cell>
          <cell r="D1002" t="str">
            <v>В РОЗЫСКЕ</v>
          </cell>
          <cell r="E1002"/>
          <cell r="F1002"/>
          <cell r="G1002" t="str">
            <v>Только под полную стоимость оборудования</v>
          </cell>
        </row>
        <row r="1003">
          <cell r="A1003" t="str">
            <v>Репина Светлана Николаевна</v>
          </cell>
          <cell r="B1003">
            <v>28245</v>
          </cell>
          <cell r="C1003" t="str">
            <v>НЕВЫДАВАТЬ</v>
          </cell>
          <cell r="D1003" t="str">
            <v>В РОЗЫСКЕ</v>
          </cell>
          <cell r="E1003"/>
          <cell r="F1003"/>
          <cell r="G1003" t="str">
            <v>Только под полную стоимость оборудования</v>
          </cell>
        </row>
        <row r="1004">
          <cell r="A1004" t="str">
            <v xml:space="preserve">Реснянский Анатолий Иванович </v>
          </cell>
          <cell r="B1004">
            <v>20570</v>
          </cell>
          <cell r="C1004" t="str">
            <v>НЕВЫДАВАТЬ</v>
          </cell>
          <cell r="D1004" t="str">
            <v>В РОЗЫСКЕ</v>
          </cell>
          <cell r="E1004"/>
          <cell r="F1004"/>
          <cell r="G1004" t="str">
            <v>Только под полную стоимость оборудования</v>
          </cell>
        </row>
        <row r="1005">
          <cell r="A1005" t="str">
            <v>Ритер Роман Райнгольдович</v>
          </cell>
          <cell r="B1005">
            <v>22692</v>
          </cell>
          <cell r="C1005" t="str">
            <v>НЕВЫДАВАТЬ</v>
          </cell>
          <cell r="D1005" t="str">
            <v>В РОЗЫСКЕ</v>
          </cell>
          <cell r="E1005"/>
          <cell r="F1005"/>
          <cell r="G1005" t="str">
            <v>Только под полную стоимость оборудования</v>
          </cell>
        </row>
        <row r="1006">
          <cell r="A1006" t="str">
            <v>Рихтер Сергей Сергеевич</v>
          </cell>
          <cell r="B1006">
            <v>29478</v>
          </cell>
          <cell r="C1006" t="str">
            <v>НЕВЫДАВАТЬ</v>
          </cell>
          <cell r="D1006" t="str">
            <v>В РОЗЫСКЕ</v>
          </cell>
          <cell r="E1006"/>
          <cell r="F1006"/>
          <cell r="G1006" t="str">
            <v>Только под полную стоимость оборудования</v>
          </cell>
        </row>
        <row r="1007">
          <cell r="A1007" t="str">
            <v xml:space="preserve">Роговой Сергей Алексеевич </v>
          </cell>
          <cell r="B1007">
            <v>26560</v>
          </cell>
          <cell r="C1007" t="str">
            <v>НЕВЫДАВАТЬ</v>
          </cell>
          <cell r="D1007" t="str">
            <v>В РОЗЫСКЕ</v>
          </cell>
          <cell r="E1007"/>
          <cell r="F1007"/>
          <cell r="G1007" t="str">
            <v>Только под полную стоимость оборудования</v>
          </cell>
        </row>
        <row r="1008">
          <cell r="A1008" t="str">
            <v xml:space="preserve">Рожнов Александр Максимович </v>
          </cell>
          <cell r="B1008">
            <v>17664</v>
          </cell>
          <cell r="C1008" t="str">
            <v>НЕВЫДАВАТЬ</v>
          </cell>
          <cell r="D1008" t="str">
            <v>В РОЗЫСКЕ</v>
          </cell>
          <cell r="E1008"/>
          <cell r="F1008"/>
          <cell r="G1008" t="str">
            <v>Только под полную стоимость оборудования</v>
          </cell>
        </row>
        <row r="1009">
          <cell r="A1009" t="str">
            <v>Рохвадзе Эмзари Григорьевич</v>
          </cell>
          <cell r="B1009">
            <v>24332</v>
          </cell>
          <cell r="C1009" t="str">
            <v>НЕВЫДАВАТЬ</v>
          </cell>
          <cell r="D1009" t="str">
            <v>В РОЗЫСКЕ</v>
          </cell>
          <cell r="E1009"/>
          <cell r="F1009"/>
          <cell r="G1009" t="str">
            <v>Только под полную стоимость оборудования</v>
          </cell>
        </row>
        <row r="1010">
          <cell r="A1010" t="str">
            <v>Рубашкин Виктор Леонидович</v>
          </cell>
          <cell r="B1010">
            <v>21138</v>
          </cell>
          <cell r="C1010" t="str">
            <v>НЕВЫДАВАТЬ</v>
          </cell>
          <cell r="D1010" t="str">
            <v>В РОЗЫСКЕ</v>
          </cell>
          <cell r="E1010"/>
          <cell r="F1010"/>
          <cell r="G1010" t="str">
            <v>Только под полную стоимость оборудования</v>
          </cell>
        </row>
        <row r="1011">
          <cell r="A1011" t="str">
            <v xml:space="preserve">Руденко Сергей Павлович </v>
          </cell>
          <cell r="B1011">
            <v>19056</v>
          </cell>
          <cell r="C1011" t="str">
            <v>НЕВЫДАВАТЬ</v>
          </cell>
          <cell r="D1011" t="str">
            <v>В РОЗЫСКЕ</v>
          </cell>
          <cell r="E1011"/>
          <cell r="F1011"/>
          <cell r="G1011" t="str">
            <v>Только под полную стоимость оборудования</v>
          </cell>
        </row>
        <row r="1012">
          <cell r="A1012" t="str">
            <v>Рудых Виталий Павлович</v>
          </cell>
          <cell r="B1012">
            <v>29095</v>
          </cell>
          <cell r="C1012" t="str">
            <v>НЕВЫДАВАТЬ</v>
          </cell>
          <cell r="D1012" t="str">
            <v>В РОЗЫСКЕ</v>
          </cell>
          <cell r="E1012"/>
          <cell r="F1012"/>
          <cell r="G1012" t="str">
            <v>Только под полную стоимость оборудования</v>
          </cell>
        </row>
        <row r="1013">
          <cell r="A1013" t="str">
            <v>Рыбалченко Александр Михайлович</v>
          </cell>
          <cell r="B1013">
            <v>19758</v>
          </cell>
          <cell r="C1013" t="str">
            <v>НЕВЫДАВАТЬ</v>
          </cell>
          <cell r="D1013" t="str">
            <v>В РОЗЫСКЕ</v>
          </cell>
          <cell r="E1013"/>
          <cell r="F1013"/>
          <cell r="G1013" t="str">
            <v>Только под полную стоимость оборудования</v>
          </cell>
        </row>
        <row r="1014">
          <cell r="A1014" t="str">
            <v>Рыжков Виталий Викторович</v>
          </cell>
          <cell r="B1014">
            <v>28174</v>
          </cell>
          <cell r="C1014" t="str">
            <v>НЕВЫДАВАТЬ</v>
          </cell>
          <cell r="D1014" t="str">
            <v>В РОЗЫСКЕ</v>
          </cell>
          <cell r="E1014"/>
          <cell r="F1014"/>
          <cell r="G1014" t="str">
            <v>Только под полную стоимость оборудования</v>
          </cell>
        </row>
        <row r="1015">
          <cell r="A1015" t="str">
            <v>Рыков Николай Павлович</v>
          </cell>
          <cell r="B1015">
            <v>20179</v>
          </cell>
          <cell r="C1015" t="str">
            <v>НЕВЫДАВАТЬ</v>
          </cell>
          <cell r="D1015" t="str">
            <v>В РОЗЫСКЕ</v>
          </cell>
          <cell r="E1015"/>
          <cell r="F1015"/>
          <cell r="G1015" t="str">
            <v>Только под полную стоимость оборудования</v>
          </cell>
        </row>
        <row r="1016">
          <cell r="A1016" t="str">
            <v>Рысков Юрий Александрович</v>
          </cell>
          <cell r="B1016">
            <v>21088</v>
          </cell>
          <cell r="C1016" t="str">
            <v>НЕВЫДАВАТЬ</v>
          </cell>
          <cell r="D1016" t="str">
            <v>В РОЗЫСКЕ</v>
          </cell>
          <cell r="E1016"/>
          <cell r="F1016"/>
          <cell r="G1016" t="str">
            <v>Только под полную стоимость оборудования</v>
          </cell>
        </row>
        <row r="1017">
          <cell r="A1017" t="str">
            <v>Рыскулиев Самат Баякинович</v>
          </cell>
          <cell r="B1017">
            <v>28920</v>
          </cell>
          <cell r="C1017" t="str">
            <v>НЕВЫДАВАТЬ</v>
          </cell>
          <cell r="D1017" t="str">
            <v>В РОЗЫСКЕ</v>
          </cell>
          <cell r="E1017"/>
          <cell r="F1017"/>
          <cell r="G1017" t="str">
            <v>Только под полную стоимость оборудования</v>
          </cell>
        </row>
        <row r="1018">
          <cell r="A1018" t="str">
            <v>Сабиров Абылбек Шарапович</v>
          </cell>
          <cell r="B1018">
            <v>25134</v>
          </cell>
          <cell r="C1018" t="str">
            <v>НЕВЫДАВАТЬ</v>
          </cell>
          <cell r="D1018" t="str">
            <v>В РОЗЫСКЕ</v>
          </cell>
          <cell r="E1018"/>
          <cell r="F1018"/>
          <cell r="G1018" t="str">
            <v>Только под полную стоимость оборудования</v>
          </cell>
        </row>
        <row r="1019">
          <cell r="A1019" t="str">
            <v>Саданбаев Жолдошбек Усонбаевич</v>
          </cell>
          <cell r="B1019">
            <v>25286</v>
          </cell>
          <cell r="C1019" t="str">
            <v>НЕВЫДАВАТЬ</v>
          </cell>
          <cell r="D1019" t="str">
            <v>В РОЗЫСКЕ</v>
          </cell>
          <cell r="E1019"/>
          <cell r="F1019"/>
          <cell r="G1019" t="str">
            <v>Только под полную стоимость оборудования</v>
          </cell>
        </row>
        <row r="1020">
          <cell r="A1020" t="str">
            <v xml:space="preserve">Садывакасов Токтамыс Уабович </v>
          </cell>
          <cell r="B1020">
            <v>20922</v>
          </cell>
          <cell r="C1020" t="str">
            <v>НЕВЫДАВАТЬ</v>
          </cell>
          <cell r="D1020" t="str">
            <v>В РОЗЫСКЕ</v>
          </cell>
          <cell r="E1020"/>
          <cell r="F1020"/>
          <cell r="G1020" t="str">
            <v>Только под полную стоимость оборудования</v>
          </cell>
        </row>
        <row r="1021">
          <cell r="A1021" t="str">
            <v>Саенко Любовь Алексеевна</v>
          </cell>
          <cell r="B1021">
            <v>18404</v>
          </cell>
          <cell r="C1021" t="str">
            <v>НЕВЫДАВАТЬ</v>
          </cell>
          <cell r="D1021" t="str">
            <v>В РОЗЫСКЕ</v>
          </cell>
          <cell r="E1021"/>
          <cell r="F1021"/>
          <cell r="G1021" t="str">
            <v>Только под полную стоимость оборудования</v>
          </cell>
        </row>
        <row r="1022">
          <cell r="A1022" t="str">
            <v>Саидов Олимжон Адильжонович</v>
          </cell>
          <cell r="B1022">
            <v>28695</v>
          </cell>
          <cell r="C1022" t="str">
            <v>НЕВЫДАВАТЬ</v>
          </cell>
          <cell r="D1022" t="str">
            <v>В РОЗЫСКЕ</v>
          </cell>
          <cell r="E1022"/>
          <cell r="F1022"/>
          <cell r="G1022" t="str">
            <v>Только под полную стоимость оборудования</v>
          </cell>
        </row>
        <row r="1023">
          <cell r="A1023" t="str">
            <v>Саипов Сардарбек Осорович</v>
          </cell>
          <cell r="B1023">
            <v>33420</v>
          </cell>
          <cell r="C1023" t="str">
            <v>НЕВЫДАВАТЬ</v>
          </cell>
          <cell r="D1023" t="str">
            <v>В РОЗЫСКЕ</v>
          </cell>
          <cell r="E1023"/>
          <cell r="F1023"/>
          <cell r="G1023" t="str">
            <v>Только под полную стоимость оборудования</v>
          </cell>
        </row>
        <row r="1024">
          <cell r="A1024" t="str">
            <v>Сайдакбаров Садик Саидазимович</v>
          </cell>
          <cell r="B1024">
            <v>23387</v>
          </cell>
          <cell r="C1024" t="str">
            <v>НЕВЫДАВАТЬ</v>
          </cell>
          <cell r="D1024" t="str">
            <v>В РОЗЫСКЕ</v>
          </cell>
          <cell r="E1024"/>
          <cell r="F1024"/>
          <cell r="G1024" t="str">
            <v>Только под полную стоимость оборудования</v>
          </cell>
        </row>
        <row r="1025">
          <cell r="A1025" t="str">
            <v>Сайдалиев Жумагул Эшмурзаевич</v>
          </cell>
          <cell r="B1025">
            <v>21016</v>
          </cell>
          <cell r="C1025" t="str">
            <v>НЕВЫДАВАТЬ</v>
          </cell>
          <cell r="D1025" t="str">
            <v>В РОЗЫСКЕ</v>
          </cell>
          <cell r="E1025"/>
          <cell r="F1025"/>
          <cell r="G1025" t="str">
            <v>Только под полную стоимость оборудования</v>
          </cell>
        </row>
        <row r="1026">
          <cell r="A1026" t="str">
            <v>Сайибжанов Бахадыр Закирович</v>
          </cell>
          <cell r="B1026">
            <v>24777</v>
          </cell>
          <cell r="C1026" t="str">
            <v>НЕВЫДАВАТЬ</v>
          </cell>
          <cell r="D1026" t="str">
            <v>В РОЗЫСКЕ</v>
          </cell>
          <cell r="E1026"/>
          <cell r="F1026"/>
          <cell r="G1026" t="str">
            <v>Только под полную стоимость оборудования</v>
          </cell>
        </row>
        <row r="1027">
          <cell r="A1027" t="str">
            <v>Сайназаров Максытали Магамедович</v>
          </cell>
          <cell r="B1027" t="str">
            <v>31.01.1983   .</v>
          </cell>
          <cell r="C1027" t="str">
            <v>НЕВЫДАВАТЬ</v>
          </cell>
          <cell r="D1027" t="str">
            <v>В РОЗЫСКЕ</v>
          </cell>
          <cell r="E1027"/>
          <cell r="F1027"/>
          <cell r="G1027" t="str">
            <v>Только под полную стоимость оборудования</v>
          </cell>
        </row>
        <row r="1028">
          <cell r="A1028" t="str">
            <v xml:space="preserve">Салбаев Марат Бейшенбекович </v>
          </cell>
          <cell r="B1028">
            <v>29384</v>
          </cell>
          <cell r="C1028" t="str">
            <v>НЕВЫДАВАТЬ</v>
          </cell>
          <cell r="D1028" t="str">
            <v>В РОЗЫСКЕ</v>
          </cell>
          <cell r="E1028"/>
          <cell r="F1028"/>
          <cell r="G1028" t="str">
            <v>Только под полную стоимость оборудования</v>
          </cell>
        </row>
        <row r="1029">
          <cell r="A1029" t="str">
            <v>Саликов Александр Викторович</v>
          </cell>
          <cell r="B1029">
            <v>23254</v>
          </cell>
          <cell r="C1029" t="str">
            <v>НЕВЫДАВАТЬ</v>
          </cell>
          <cell r="D1029" t="str">
            <v>В РОЗЫСКЕ</v>
          </cell>
          <cell r="E1029"/>
          <cell r="F1029"/>
          <cell r="G1029" t="str">
            <v>Только под полную стоимость оборудования</v>
          </cell>
        </row>
        <row r="1030">
          <cell r="A1030" t="str">
            <v>Салимов Денис Тахирович</v>
          </cell>
          <cell r="B1030">
            <v>34755</v>
          </cell>
          <cell r="C1030" t="str">
            <v>НЕВЫДАВАТЬ</v>
          </cell>
          <cell r="D1030" t="str">
            <v>В РОЗЫСКЕ</v>
          </cell>
          <cell r="E1030"/>
          <cell r="F1030"/>
          <cell r="G1030" t="str">
            <v>Только под полную стоимость оборудования</v>
          </cell>
        </row>
        <row r="1031">
          <cell r="A1031" t="str">
            <v>Салморбеков Султан Бугубаевич</v>
          </cell>
          <cell r="B1031">
            <v>31780</v>
          </cell>
          <cell r="C1031" t="str">
            <v>НЕВЫДАВАТЬ</v>
          </cell>
          <cell r="D1031" t="str">
            <v>В РОЗЫСКЕ</v>
          </cell>
          <cell r="E1031"/>
          <cell r="F1031"/>
          <cell r="G1031" t="str">
            <v>Только под полную стоимость оборудования</v>
          </cell>
        </row>
        <row r="1032">
          <cell r="A1032" t="str">
            <v>Салов Анатолий Андреевич</v>
          </cell>
          <cell r="B1032">
            <v>19971</v>
          </cell>
          <cell r="C1032" t="str">
            <v>НЕВЫДАВАТЬ</v>
          </cell>
          <cell r="D1032" t="str">
            <v>В РОЗЫСКЕ</v>
          </cell>
          <cell r="E1032"/>
          <cell r="F1032"/>
          <cell r="G1032" t="str">
            <v>Только под полную стоимость оборудования</v>
          </cell>
        </row>
        <row r="1033">
          <cell r="A1033" t="str">
            <v>Самадов Илхомжон Бутунбаевич</v>
          </cell>
          <cell r="B1033">
            <v>32133</v>
          </cell>
          <cell r="C1033" t="str">
            <v>НЕВЫДАВАТЬ</v>
          </cell>
          <cell r="D1033" t="str">
            <v>В РОЗЫСКЕ</v>
          </cell>
          <cell r="E1033"/>
          <cell r="F1033"/>
          <cell r="G1033" t="str">
            <v>Только под полную стоимость оборудования</v>
          </cell>
        </row>
        <row r="1034">
          <cell r="A1034" t="str">
            <v>Самаков Бактыбек Турсунбаевич</v>
          </cell>
          <cell r="B1034">
            <v>26733</v>
          </cell>
          <cell r="C1034" t="str">
            <v>НЕВЫДАВАТЬ</v>
          </cell>
          <cell r="D1034" t="str">
            <v>В РОЗЫСКЕ</v>
          </cell>
          <cell r="E1034"/>
          <cell r="F1034"/>
          <cell r="G1034" t="str">
            <v>Только под полную стоимость оборудования</v>
          </cell>
        </row>
        <row r="1035">
          <cell r="A1035" t="str">
            <v xml:space="preserve">Самаков Нурбек Турсуналиевич </v>
          </cell>
          <cell r="B1035">
            <v>27124</v>
          </cell>
          <cell r="C1035" t="str">
            <v>НЕВЫДАВАТЬ</v>
          </cell>
          <cell r="D1035" t="str">
            <v>В РОЗЫСКЕ</v>
          </cell>
          <cell r="E1035"/>
          <cell r="F1035"/>
          <cell r="G1035" t="str">
            <v>Только под полную стоимость оборудования</v>
          </cell>
        </row>
        <row r="1036">
          <cell r="A1036" t="str">
            <v xml:space="preserve">Сангинов Додарходжа Орузевич </v>
          </cell>
          <cell r="B1036">
            <v>21978</v>
          </cell>
          <cell r="C1036" t="str">
            <v>НЕВЫДАВАТЬ</v>
          </cell>
          <cell r="D1036" t="str">
            <v>В РОЗЫСКЕ</v>
          </cell>
          <cell r="E1036"/>
          <cell r="F1036"/>
          <cell r="G1036" t="str">
            <v>Только под полную стоимость оборудования</v>
          </cell>
        </row>
        <row r="1037">
          <cell r="A1037" t="str">
            <v>Сапаров Адылжан Заиржанович</v>
          </cell>
          <cell r="B1037">
            <v>33928</v>
          </cell>
          <cell r="C1037" t="str">
            <v>НЕВЫДАВАТЬ</v>
          </cell>
          <cell r="D1037" t="str">
            <v>В РОЗЫСКЕ</v>
          </cell>
          <cell r="E1037"/>
          <cell r="F1037"/>
          <cell r="G1037" t="str">
            <v>Только под полную стоимость оборудования</v>
          </cell>
        </row>
        <row r="1038">
          <cell r="A1038" t="str">
            <v>Сапаров Атабай Махсетбаевич</v>
          </cell>
          <cell r="B1038">
            <v>32054</v>
          </cell>
          <cell r="C1038" t="str">
            <v>НЕВЫДАВАТЬ</v>
          </cell>
          <cell r="D1038" t="str">
            <v>В РОЗЫСКЕ</v>
          </cell>
          <cell r="E1038"/>
          <cell r="F1038"/>
          <cell r="G1038" t="str">
            <v>Только под полную стоимость оборудования</v>
          </cell>
        </row>
        <row r="1039">
          <cell r="A1039" t="str">
            <v xml:space="preserve">Сапов Олег Александрович </v>
          </cell>
          <cell r="B1039">
            <v>28656</v>
          </cell>
          <cell r="C1039" t="str">
            <v>НЕВЫДАВАТЬ</v>
          </cell>
          <cell r="D1039" t="str">
            <v>В РОЗЫСКЕ</v>
          </cell>
          <cell r="E1039"/>
          <cell r="F1039"/>
          <cell r="G1039" t="str">
            <v>Только под полную стоимость оборудования</v>
          </cell>
        </row>
        <row r="1040">
          <cell r="A1040" t="str">
            <v xml:space="preserve">Сарбаев Каримберди Турдалиевич </v>
          </cell>
          <cell r="B1040">
            <v>25665</v>
          </cell>
          <cell r="C1040" t="str">
            <v>НЕВЫДАВАТЬ</v>
          </cell>
          <cell r="D1040" t="str">
            <v>В РОЗЫСКЕ</v>
          </cell>
          <cell r="E1040"/>
          <cell r="F1040"/>
          <cell r="G1040" t="str">
            <v>Только под полную стоимость оборудования</v>
          </cell>
        </row>
        <row r="1041">
          <cell r="A1041" t="str">
            <v>Саргулаков Урмат Калдарбаевич</v>
          </cell>
          <cell r="B1041">
            <v>32640</v>
          </cell>
          <cell r="C1041" t="str">
            <v>НЕВЫДАВАТЬ</v>
          </cell>
          <cell r="D1041" t="str">
            <v>В РОЗЫСКЕ</v>
          </cell>
          <cell r="E1041"/>
          <cell r="F1041"/>
          <cell r="G1041" t="str">
            <v>Только под полную стоимость оборудования</v>
          </cell>
        </row>
        <row r="1042">
          <cell r="A1042" t="str">
            <v>Саттаров Адыл Усманович</v>
          </cell>
          <cell r="B1042">
            <v>27919</v>
          </cell>
          <cell r="C1042" t="str">
            <v>НЕВЫДАВАТЬ</v>
          </cell>
          <cell r="D1042" t="str">
            <v>В РОЗЫСКЕ</v>
          </cell>
          <cell r="E1042"/>
          <cell r="F1042"/>
          <cell r="G1042" t="str">
            <v>Только под полную стоимость оборудования</v>
          </cell>
        </row>
        <row r="1043">
          <cell r="A1043" t="str">
            <v>Саттиев Нейматтула Хабибуллаевич</v>
          </cell>
          <cell r="B1043">
            <v>30163</v>
          </cell>
          <cell r="C1043" t="str">
            <v>НЕВЫДАВАТЬ</v>
          </cell>
          <cell r="D1043" t="str">
            <v>В РОЗЫСКЕ</v>
          </cell>
          <cell r="E1043"/>
          <cell r="F1043"/>
          <cell r="G1043" t="str">
            <v>Только под полную стоимость оборудования</v>
          </cell>
        </row>
        <row r="1044">
          <cell r="A1044" t="str">
            <v xml:space="preserve">Сатыбалдиев Суйунбай Калмаматович </v>
          </cell>
          <cell r="B1044">
            <v>27149</v>
          </cell>
          <cell r="C1044" t="str">
            <v>НЕВЫДАВАТЬ</v>
          </cell>
          <cell r="D1044" t="str">
            <v>В РОЗЫСКЕ</v>
          </cell>
          <cell r="E1044"/>
          <cell r="F1044"/>
          <cell r="G1044" t="str">
            <v>Только под полную стоимость оборудования</v>
          </cell>
        </row>
        <row r="1045">
          <cell r="A1045" t="str">
            <v>Сатыбалдиева Феруза Зулумбековна</v>
          </cell>
          <cell r="B1045">
            <v>28319</v>
          </cell>
          <cell r="C1045" t="str">
            <v>НЕВЫДАВАТЬ</v>
          </cell>
          <cell r="D1045" t="str">
            <v>В РОЗЫСКЕ</v>
          </cell>
          <cell r="E1045"/>
          <cell r="F1045"/>
          <cell r="G1045" t="str">
            <v>Только под полную стоимость оборудования</v>
          </cell>
        </row>
        <row r="1046">
          <cell r="A1046" t="str">
            <v xml:space="preserve">Сафин Наиль Камилович </v>
          </cell>
          <cell r="B1046">
            <v>24379</v>
          </cell>
          <cell r="C1046" t="str">
            <v>НЕВЫДАВАТЬ</v>
          </cell>
          <cell r="D1046" t="str">
            <v>В РОЗЫСКЕ</v>
          </cell>
          <cell r="E1046"/>
          <cell r="F1046"/>
          <cell r="G1046" t="str">
            <v>Только под полную стоимость оборудования</v>
          </cell>
        </row>
        <row r="1047">
          <cell r="A1047" t="str">
            <v>Свиридов Владимир Васильевич</v>
          </cell>
          <cell r="B1047">
            <v>18937</v>
          </cell>
          <cell r="C1047" t="str">
            <v>НЕВЫДАВАТЬ</v>
          </cell>
          <cell r="D1047" t="str">
            <v>В РОЗЫСКЕ</v>
          </cell>
          <cell r="E1047"/>
          <cell r="F1047"/>
          <cell r="G1047" t="str">
            <v>Только под полную стоимость оборудования</v>
          </cell>
        </row>
        <row r="1048">
          <cell r="A1048" t="str">
            <v>Севергин Виктор Михайлович</v>
          </cell>
          <cell r="B1048">
            <v>21436</v>
          </cell>
          <cell r="C1048" t="str">
            <v>НЕВЫДАВАТЬ</v>
          </cell>
          <cell r="D1048" t="str">
            <v>В РОЗЫСКЕ</v>
          </cell>
          <cell r="E1048"/>
          <cell r="F1048"/>
          <cell r="G1048" t="str">
            <v>Только под полную стоимость оборудования</v>
          </cell>
        </row>
        <row r="1049">
          <cell r="A1049" t="str">
            <v>Севергин Сергей Петрович</v>
          </cell>
          <cell r="B1049">
            <v>29667</v>
          </cell>
          <cell r="C1049" t="str">
            <v>НЕВЫДАВАТЬ</v>
          </cell>
          <cell r="D1049" t="str">
            <v>В РОЗЫСКЕ</v>
          </cell>
          <cell r="E1049"/>
          <cell r="F1049"/>
          <cell r="G1049" t="str">
            <v>Только под полную стоимость оборудования</v>
          </cell>
        </row>
        <row r="1050">
          <cell r="A1050" t="str">
            <v>Сегизбаев Сагындык Эркинжанович</v>
          </cell>
          <cell r="B1050">
            <v>26994</v>
          </cell>
          <cell r="C1050" t="str">
            <v>НЕВЫДАВАТЬ</v>
          </cell>
          <cell r="D1050" t="str">
            <v>В РОЗЫСКЕ</v>
          </cell>
          <cell r="E1050"/>
          <cell r="F1050"/>
          <cell r="G1050" t="str">
            <v>Только под полную стоимость оборудования</v>
          </cell>
        </row>
        <row r="1051">
          <cell r="A1051" t="str">
            <v>Сединин Сергей Петрович</v>
          </cell>
          <cell r="B1051">
            <v>24178</v>
          </cell>
          <cell r="C1051" t="str">
            <v>НЕВЫДАВАТЬ</v>
          </cell>
          <cell r="D1051" t="str">
            <v>В РОЗЫСКЕ</v>
          </cell>
          <cell r="E1051"/>
          <cell r="F1051"/>
          <cell r="G1051" t="str">
            <v>Только под полную стоимость оборудования</v>
          </cell>
        </row>
        <row r="1052">
          <cell r="A1052" t="str">
            <v>Сеитов Талипжан Баратович</v>
          </cell>
          <cell r="B1052">
            <v>29598</v>
          </cell>
          <cell r="C1052" t="str">
            <v>НЕВЫДАВАТЬ</v>
          </cell>
          <cell r="D1052" t="str">
            <v>В РОЗЫСКЕ</v>
          </cell>
          <cell r="E1052"/>
          <cell r="F1052"/>
          <cell r="G1052" t="str">
            <v>Только под полную стоимость оборудования</v>
          </cell>
        </row>
        <row r="1053">
          <cell r="A1053" t="str">
            <v>Сейдакматов Нурлан Эшмухамедович</v>
          </cell>
          <cell r="B1053">
            <v>22788</v>
          </cell>
          <cell r="C1053" t="str">
            <v>НЕВЫДАВАТЬ</v>
          </cell>
          <cell r="D1053" t="str">
            <v>В РОЗЫСКЕ</v>
          </cell>
          <cell r="E1053"/>
          <cell r="F1053"/>
          <cell r="G1053" t="str">
            <v>Только под полную стоимость оборудования</v>
          </cell>
        </row>
        <row r="1054">
          <cell r="A1054" t="str">
            <v>Сейдахматов Канатбек Амантаевич</v>
          </cell>
          <cell r="B1054">
            <v>22859</v>
          </cell>
          <cell r="C1054" t="str">
            <v>НЕВЫДАВАТЬ</v>
          </cell>
          <cell r="D1054" t="str">
            <v>В РОЗЫСКЕ</v>
          </cell>
          <cell r="E1054"/>
          <cell r="F1054"/>
          <cell r="G1054" t="str">
            <v>Только под полную стоимость оборудования</v>
          </cell>
        </row>
        <row r="1055">
          <cell r="A1055" t="str">
            <v xml:space="preserve">Сейдекалыков Саматбек </v>
          </cell>
          <cell r="B1055">
            <v>29976</v>
          </cell>
          <cell r="C1055" t="str">
            <v>НЕВЫДАВАТЬ</v>
          </cell>
          <cell r="D1055" t="str">
            <v>В РОЗЫСКЕ</v>
          </cell>
          <cell r="E1055"/>
          <cell r="F1055"/>
          <cell r="G1055" t="str">
            <v>Только под полную стоимость оборудования</v>
          </cell>
        </row>
        <row r="1056">
          <cell r="A1056" t="str">
            <v>Сексенбаев Ахан Тезекбаевич</v>
          </cell>
          <cell r="B1056">
            <v>26231</v>
          </cell>
          <cell r="C1056" t="str">
            <v>НЕВЫДАВАТЬ</v>
          </cell>
          <cell r="D1056" t="str">
            <v>В РОЗЫСКЕ</v>
          </cell>
          <cell r="E1056"/>
          <cell r="F1056"/>
          <cell r="G1056" t="str">
            <v>Только под полную стоимость оборудования</v>
          </cell>
        </row>
        <row r="1057">
          <cell r="A1057" t="str">
            <v xml:space="preserve">Селиверстов Александр Васильевич </v>
          </cell>
          <cell r="B1057">
            <v>24501</v>
          </cell>
          <cell r="C1057" t="str">
            <v>НЕВЫДАВАТЬ</v>
          </cell>
          <cell r="D1057" t="str">
            <v>В РОЗЫСКЕ</v>
          </cell>
          <cell r="E1057"/>
          <cell r="F1057"/>
          <cell r="G1057" t="str">
            <v>Только под полную стоимость оборудования</v>
          </cell>
        </row>
        <row r="1058">
          <cell r="A1058" t="str">
            <v>Семененко Геннадий Генадьевич</v>
          </cell>
        </row>
        <row r="1059">
          <cell r="A1059" t="str">
            <v>Семенов Вячеслав Григорьевич</v>
          </cell>
        </row>
        <row r="1060">
          <cell r="A1060" t="str">
            <v>Сералиев Марат Нургазиевич</v>
          </cell>
        </row>
        <row r="1061">
          <cell r="A1061" t="str">
            <v>Сергеев Александр Сергеевич</v>
          </cell>
        </row>
        <row r="1062">
          <cell r="A1062" t="str">
            <v>Сергеева Нина Ивановна</v>
          </cell>
        </row>
        <row r="1063">
          <cell r="A1063" t="str">
            <v>Сериков Владимир Иванович</v>
          </cell>
        </row>
        <row r="1064">
          <cell r="A1064" t="str">
            <v>Серюков Виталий Александрович</v>
          </cell>
        </row>
        <row r="1065">
          <cell r="A1065" t="str">
            <v>Сибиряков Николай Николаевич</v>
          </cell>
        </row>
        <row r="1066">
          <cell r="A1066" t="str">
            <v xml:space="preserve">Сивков Игорь Владимирович </v>
          </cell>
        </row>
        <row r="1067">
          <cell r="A1067" t="str">
            <v>Сидиков Зафарбек Чутанович</v>
          </cell>
        </row>
        <row r="1068">
          <cell r="A1068" t="str">
            <v>Силкин Олег Николаевич</v>
          </cell>
        </row>
        <row r="1069">
          <cell r="A1069" t="str">
            <v xml:space="preserve">Симахин Николай Альбертович </v>
          </cell>
        </row>
        <row r="1070">
          <cell r="A1070" t="str">
            <v>Сиротенко Владимир Борисович</v>
          </cell>
        </row>
        <row r="1071">
          <cell r="A1071" t="str">
            <v>Сиутинхаю Виталий Викторович</v>
          </cell>
        </row>
        <row r="1072">
          <cell r="A1072" t="str">
            <v>Скала Николай Николаевич</v>
          </cell>
        </row>
        <row r="1073">
          <cell r="A1073" t="str">
            <v>Скобина Белла Федоровна</v>
          </cell>
        </row>
        <row r="1074">
          <cell r="A1074" t="str">
            <v>Скрипачев Владимир Викторович</v>
          </cell>
        </row>
        <row r="1075">
          <cell r="A1075" t="str">
            <v>Слинько Николай Валентинович</v>
          </cell>
        </row>
        <row r="1076">
          <cell r="A1076" t="str">
            <v>Сматова Рахат Зарылбековна</v>
          </cell>
        </row>
        <row r="1077">
          <cell r="A1077" t="str">
            <v>Смолянский Владимир Валерьевич</v>
          </cell>
        </row>
        <row r="1078">
          <cell r="A1078" t="str">
            <v>Солдатов Николай Владимирович</v>
          </cell>
        </row>
        <row r="1079">
          <cell r="A1079" t="str">
            <v>Солдатов Сергей Алексеевич</v>
          </cell>
        </row>
        <row r="1080">
          <cell r="A1080" t="str">
            <v>Сомов Анатолий Николаевич</v>
          </cell>
        </row>
        <row r="1081">
          <cell r="A1081" t="str">
            <v>Сооронбаев Догдурбек Аскарбекович</v>
          </cell>
        </row>
        <row r="1082">
          <cell r="A1082" t="str">
            <v xml:space="preserve">Спиридонов Дмитрий Станиславович </v>
          </cell>
        </row>
        <row r="1083">
          <cell r="A1083" t="str">
            <v>Стародубов Виктор Михайлович</v>
          </cell>
        </row>
        <row r="1084">
          <cell r="A1084" t="str">
            <v>Степанов Александр Григорьевич</v>
          </cell>
        </row>
        <row r="1085">
          <cell r="A1085" t="str">
            <v>Степовой Александр Павлович</v>
          </cell>
        </row>
        <row r="1086">
          <cell r="A1086" t="str">
            <v>Сторожев Игорь Александрович</v>
          </cell>
        </row>
        <row r="1087">
          <cell r="A1087" t="str">
            <v>Суворов Сергей Михайлович</v>
          </cell>
        </row>
        <row r="1088">
          <cell r="A1088" t="str">
            <v>Суйунбек уулу Бактыгул</v>
          </cell>
        </row>
        <row r="1089">
          <cell r="A1089" t="str">
            <v>Сулайманов Нурлан Абдыкалыкович</v>
          </cell>
        </row>
        <row r="1090">
          <cell r="A1090" t="str">
            <v>Сулайманов Халикжан Камилович</v>
          </cell>
        </row>
        <row r="1091">
          <cell r="A1091" t="str">
            <v>Сулайманов Эркинжан Сабирович</v>
          </cell>
        </row>
        <row r="1092">
          <cell r="A1092" t="str">
            <v xml:space="preserve">Султанбаев Абдимамыт Максымбекович </v>
          </cell>
        </row>
        <row r="1093">
          <cell r="A1093" t="str">
            <v>Сундеев Владимир Николаевич</v>
          </cell>
        </row>
        <row r="1094">
          <cell r="A1094" t="str">
            <v>Суранчиев Бердалы Токталиевич</v>
          </cell>
        </row>
        <row r="1095">
          <cell r="A1095" t="str">
            <v>Суркин Виктор Александрович</v>
          </cell>
        </row>
        <row r="1096">
          <cell r="A1096" t="str">
            <v>Сурманов Диержан Исраилович</v>
          </cell>
        </row>
        <row r="1097">
          <cell r="A1097" t="str">
            <v>Сухов Юрий Генадьевич</v>
          </cell>
        </row>
        <row r="1098">
          <cell r="A1098" t="str">
            <v xml:space="preserve">Сухотин Александр Степанович </v>
          </cell>
        </row>
        <row r="1099">
          <cell r="A1099" t="str">
            <v>Сыдыков Жаныбек Мырзакулович</v>
          </cell>
        </row>
        <row r="1100">
          <cell r="A1100" t="str">
            <v>Табалдинов Актилек Молчиевич</v>
          </cell>
        </row>
        <row r="1101">
          <cell r="A1101" t="str">
            <v>Тажибаев Алишер Махамадович</v>
          </cell>
        </row>
        <row r="1102">
          <cell r="A1102" t="str">
            <v>Тажибаев Илхом Махмуджанович</v>
          </cell>
        </row>
        <row r="1103">
          <cell r="A1103" t="str">
            <v>Тажибаев Камил Мамасалиевич</v>
          </cell>
        </row>
        <row r="1104">
          <cell r="A1104" t="str">
            <v>Тажибаев Равшанбек Гуламжанович</v>
          </cell>
        </row>
        <row r="1105">
          <cell r="A1105" t="str">
            <v>Тарасенко Федор Михайлович</v>
          </cell>
        </row>
        <row r="1106">
          <cell r="A1106" t="str">
            <v xml:space="preserve">Ташко Алексей Владимирович </v>
          </cell>
        </row>
        <row r="1107">
          <cell r="A1107" t="str">
            <v xml:space="preserve">Ташматов Суйунбек Закирдинович </v>
          </cell>
        </row>
        <row r="1108">
          <cell r="A1108" t="str">
            <v>Ташматов Фуркат Юлдашович</v>
          </cell>
        </row>
        <row r="1109">
          <cell r="A1109" t="str">
            <v>Тенгекулов Базарбай Сангытович</v>
          </cell>
        </row>
        <row r="1110">
          <cell r="A1110" t="str">
            <v>Тетюленко Александр Викторович</v>
          </cell>
        </row>
        <row r="1111">
          <cell r="A1111" t="str">
            <v>Тимошенко Михаил Петрович</v>
          </cell>
        </row>
        <row r="1112">
          <cell r="A1112" t="str">
            <v>Тимошенков Андрей Геннадьевич</v>
          </cell>
        </row>
        <row r="1113">
          <cell r="A1113" t="str">
            <v>Тимошин Сергей Николаевич</v>
          </cell>
        </row>
        <row r="1114">
          <cell r="A1114" t="str">
            <v>Титов Виктор Федорович</v>
          </cell>
        </row>
        <row r="1115">
          <cell r="A1115" t="str">
            <v>Тогузбаев Улан Толбасович</v>
          </cell>
        </row>
        <row r="1116">
          <cell r="A1116" t="str">
            <v>Тойгонбаев Абдыкаар Табалдыевич</v>
          </cell>
        </row>
        <row r="1117">
          <cell r="A1117" t="str">
            <v>Токонов Дурусбек Надирбекович</v>
          </cell>
        </row>
        <row r="1118">
          <cell r="A1118" t="str">
            <v>Токсобаев Алмазбек Жумадилович</v>
          </cell>
        </row>
        <row r="1119">
          <cell r="A1119" t="str">
            <v>Токтакунов Кошулбек Шамукамбетови</v>
          </cell>
        </row>
        <row r="1120">
          <cell r="A1120" t="str">
            <v>Токтосунов Улан Кубанычбекович</v>
          </cell>
        </row>
        <row r="1121">
          <cell r="A1121" t="str">
            <v>Токтосунов Урматбек Калматович</v>
          </cell>
        </row>
        <row r="1122">
          <cell r="A1122" t="str">
            <v>Толипов Рахимжон Махмудович</v>
          </cell>
        </row>
        <row r="1123">
          <cell r="A1123" t="str">
            <v>Толоков Нурлан Садыкбекович</v>
          </cell>
        </row>
        <row r="1124">
          <cell r="A1124" t="str">
            <v>Торгашев Александр Васильевич</v>
          </cell>
        </row>
        <row r="1125">
          <cell r="A1125" t="str">
            <v>Тоховеев Наиль Шахович</v>
          </cell>
        </row>
        <row r="1126">
          <cell r="A1126" t="str">
            <v>Тохтабаев Шукурилло Хайрыллаевич</v>
          </cell>
        </row>
        <row r="1127">
          <cell r="A1127" t="str">
            <v>Тригубчак Борис Григорьевич</v>
          </cell>
        </row>
        <row r="1128">
          <cell r="A1128" t="str">
            <v>Трофименко Виктор Александрович</v>
          </cell>
        </row>
        <row r="1129">
          <cell r="A1129" t="str">
            <v xml:space="preserve">Трубчик Анатолий Иванович </v>
          </cell>
        </row>
        <row r="1130">
          <cell r="A1130" t="str">
            <v>Тундайкин Владимир Иванович</v>
          </cell>
        </row>
        <row r="1131">
          <cell r="A1131" t="str">
            <v>Тупикин Анатолий Иванович</v>
          </cell>
        </row>
        <row r="1132">
          <cell r="A1132" t="str">
            <v>Тургунбаев Кудретилла Жармаматович</v>
          </cell>
        </row>
        <row r="1133">
          <cell r="A1133" t="str">
            <v>Турдиев Салохиддин Саидрасулович</v>
          </cell>
        </row>
        <row r="1134">
          <cell r="A1134" t="str">
            <v xml:space="preserve">Турдубаев Ысакбай Нематович </v>
          </cell>
        </row>
        <row r="1135">
          <cell r="A1135" t="str">
            <v>Турдукулов Азатбек Курбанбекович</v>
          </cell>
        </row>
        <row r="1136">
          <cell r="A1136" t="str">
            <v>Турдукулов Гулжигит Кабылжанович</v>
          </cell>
        </row>
        <row r="1137">
          <cell r="A1137" t="str">
            <v xml:space="preserve">Турсунбаев Акылбек </v>
          </cell>
        </row>
        <row r="1138">
          <cell r="A1138" t="str">
            <v>Турсунбаев Миралы Адылбекович</v>
          </cell>
        </row>
        <row r="1139">
          <cell r="A1139" t="str">
            <v>Турсунов Рахматулло Ахмаджанович</v>
          </cell>
        </row>
        <row r="1140">
          <cell r="A1140" t="str">
            <v>Туртеев Шалкар Косыбаевич</v>
          </cell>
        </row>
        <row r="1141">
          <cell r="A1141" t="str">
            <v>Тынаев Жолдошбек Бектурович</v>
          </cell>
        </row>
        <row r="1142">
          <cell r="A1142" t="str">
            <v>Тыныбеков Таалайбек Нуркожоевич</v>
          </cell>
        </row>
        <row r="1143">
          <cell r="A1143" t="str">
            <v>Тюрина Юлия Ивановна</v>
          </cell>
        </row>
        <row r="1144">
          <cell r="A1144" t="str">
            <v>Уваров Борис Александрович</v>
          </cell>
        </row>
        <row r="1145">
          <cell r="A1145" t="str">
            <v>Узенов Евгений Викторович</v>
          </cell>
        </row>
        <row r="1146">
          <cell r="A1146" t="str">
            <v>Умарахунов Валерий Аликович</v>
          </cell>
        </row>
        <row r="1147">
          <cell r="A1147" t="str">
            <v xml:space="preserve">Умаров Дамир </v>
          </cell>
        </row>
        <row r="1148">
          <cell r="A1148" t="str">
            <v>Умаров Санжар Эркинович</v>
          </cell>
        </row>
        <row r="1149">
          <cell r="A1149" t="str">
            <v>Уметалиев Бакытбек Каныбекович</v>
          </cell>
        </row>
        <row r="1150">
          <cell r="A1150" t="str">
            <v>Умурзаков Самат Болотбекулы</v>
          </cell>
        </row>
        <row r="1151">
          <cell r="A1151" t="str">
            <v>Уналбаев Мэлс Кемамбетович</v>
          </cell>
        </row>
        <row r="1152">
          <cell r="A1152" t="str">
            <v xml:space="preserve">Уразгулов Алымжан Куланбаевич </v>
          </cell>
        </row>
        <row r="1153">
          <cell r="A1153" t="str">
            <v>Ураимов Бердибек Абдрахманович</v>
          </cell>
        </row>
        <row r="1154">
          <cell r="A1154" t="str">
            <v>Урасов Валерий Всеволодович</v>
          </cell>
        </row>
        <row r="1155">
          <cell r="A1155" t="str">
            <v xml:space="preserve">УриновФархад Эргашович </v>
          </cell>
        </row>
        <row r="1156">
          <cell r="A1156" t="str">
            <v>Уркумбаев Юрий Кудаярович</v>
          </cell>
        </row>
        <row r="1157">
          <cell r="A1157" t="str">
            <v>Урмонов Шоирбек Хуснибекович</v>
          </cell>
        </row>
        <row r="1158">
          <cell r="A1158" t="str">
            <v>Урустемова Рыскен Турсуновна</v>
          </cell>
        </row>
        <row r="1159">
          <cell r="A1159" t="str">
            <v>Усманов Акмолжан Ибайдуллаевич</v>
          </cell>
        </row>
        <row r="1160">
          <cell r="A1160" t="str">
            <v>Усонова Нургуль Сатаровна</v>
          </cell>
        </row>
        <row r="1161">
          <cell r="A1161" t="str">
            <v>Устьянцев Олег Леонидович</v>
          </cell>
        </row>
        <row r="1162">
          <cell r="A1162" t="str">
            <v xml:space="preserve">Усупов Ырыс </v>
          </cell>
        </row>
        <row r="1163">
          <cell r="A1163" t="str">
            <v>Фабрицус Анатолий Владимирович</v>
          </cell>
        </row>
        <row r="1164">
          <cell r="A1164" t="str">
            <v xml:space="preserve">Файзидинов Муфтохидин Сабохидинович </v>
          </cell>
        </row>
        <row r="1165">
          <cell r="A1165" t="str">
            <v>Файст Альберт Адольфович</v>
          </cell>
        </row>
        <row r="1166">
          <cell r="A1166" t="str">
            <v>Федорченко Владимир Павлович</v>
          </cell>
        </row>
        <row r="1167">
          <cell r="A1167" t="str">
            <v xml:space="preserve">Фенер Виктор Францевич </v>
          </cell>
        </row>
        <row r="1168">
          <cell r="A1168" t="str">
            <v>Фиксов Александр Васильевич</v>
          </cell>
        </row>
        <row r="1169">
          <cell r="A1169" t="str">
            <v>Филатов Александр Александрович</v>
          </cell>
        </row>
        <row r="1170">
          <cell r="A1170" t="str">
            <v>Филиппов Александр Михайлович</v>
          </cell>
        </row>
        <row r="1171">
          <cell r="A1171" t="str">
            <v xml:space="preserve">Фомин Владимир Владимирович </v>
          </cell>
        </row>
        <row r="1172">
          <cell r="A1172" t="str">
            <v xml:space="preserve">Фомич Юрий Иванович </v>
          </cell>
        </row>
        <row r="1173">
          <cell r="A1173" t="str">
            <v xml:space="preserve">Фрейдлин Игорь Игорович </v>
          </cell>
        </row>
        <row r="1174">
          <cell r="A1174" t="str">
            <v>Фризоргер Сергей Васильевич</v>
          </cell>
        </row>
        <row r="1175">
          <cell r="A1175" t="str">
            <v xml:space="preserve">Фурса Андрей Анатольевич </v>
          </cell>
        </row>
        <row r="1176">
          <cell r="A1176" t="str">
            <v>Хаитов Закиржан Туйчуевич</v>
          </cell>
        </row>
        <row r="1177">
          <cell r="A1177" t="str">
            <v>Хайруллаев Алхазур Юрьевич</v>
          </cell>
        </row>
        <row r="1178">
          <cell r="A1178" t="str">
            <v>Хайруллин Хамит Сагынбекович</v>
          </cell>
        </row>
        <row r="1179">
          <cell r="A1179" t="str">
            <v xml:space="preserve">Хакимжанов Зафаржан Каримжанович </v>
          </cell>
        </row>
        <row r="1180">
          <cell r="A1180" t="str">
            <v xml:space="preserve">Хакимов Аскар Маламбекович </v>
          </cell>
        </row>
        <row r="1181">
          <cell r="A1181" t="str">
            <v>Хакимов Мамир Абдураимович</v>
          </cell>
        </row>
        <row r="1182">
          <cell r="A1182" t="str">
            <v xml:space="preserve">Хакимов Таиржан Нематович </v>
          </cell>
        </row>
        <row r="1183">
          <cell r="A1183" t="str">
            <v>Халдаров Махмуджан Абдумаликович</v>
          </cell>
        </row>
        <row r="1184">
          <cell r="A1184" t="str">
            <v>Халиков Шавкат Махмуджанович</v>
          </cell>
        </row>
        <row r="1185">
          <cell r="A1185" t="str">
            <v>Хамдамов Иномжон Журабаевич</v>
          </cell>
        </row>
        <row r="1186">
          <cell r="A1186" t="str">
            <v>Хамиджанов Асман Сармурзаевич</v>
          </cell>
        </row>
        <row r="1187">
          <cell r="A1187" t="str">
            <v xml:space="preserve">Хамидова Матьлюба Боходировна </v>
          </cell>
        </row>
        <row r="1188">
          <cell r="A1188" t="str">
            <v>Хамидулин Радик Ольфатович</v>
          </cell>
        </row>
        <row r="1189">
          <cell r="A1189" t="str">
            <v xml:space="preserve">Харченко Игорь Витальевич </v>
          </cell>
        </row>
        <row r="1190">
          <cell r="A1190" t="str">
            <v>Хасанов Кобыль Шарипович</v>
          </cell>
        </row>
        <row r="1191">
          <cell r="A1191" t="str">
            <v>Хасенов Аманбай Байдалаевич</v>
          </cell>
        </row>
        <row r="1192">
          <cell r="A1192" t="str">
            <v>Хасылжанов Рустамжан Махамадсадыкович</v>
          </cell>
        </row>
        <row r="1193">
          <cell r="A1193" t="str">
            <v>Хван Сергей Сергеевич</v>
          </cell>
        </row>
        <row r="1194">
          <cell r="A1194" t="str">
            <v>Хидиров Санжар Жураевич</v>
          </cell>
        </row>
        <row r="1195">
          <cell r="A1195" t="str">
            <v>Холбеков Азамбек Хотомжонович</v>
          </cell>
        </row>
        <row r="1196">
          <cell r="A1196" t="str">
            <v>Холиков Джонмухаммад Нуьмонович</v>
          </cell>
        </row>
        <row r="1197">
          <cell r="A1197" t="str">
            <v>Холиков Толмас Зайниддинович</v>
          </cell>
        </row>
        <row r="1198">
          <cell r="A1198" t="str">
            <v xml:space="preserve">Хочиев Дамир Тяньшанович </v>
          </cell>
        </row>
        <row r="1199">
          <cell r="A1199" t="str">
            <v>Хрипливец Эдуард Владимирович</v>
          </cell>
        </row>
        <row r="1200">
          <cell r="A1200" t="str">
            <v>Худододов Худодод Джумаханович</v>
          </cell>
        </row>
        <row r="1201">
          <cell r="A1201" t="str">
            <v>Худойдодов Джоробек Жайчиевич</v>
          </cell>
        </row>
        <row r="1202">
          <cell r="A1202" t="str">
            <v xml:space="preserve">Худоядов Махманаби Ахадулложанович </v>
          </cell>
        </row>
        <row r="1203">
          <cell r="A1203" t="str">
            <v>Хурмаматов Авазбек Рустамжанович</v>
          </cell>
        </row>
        <row r="1204">
          <cell r="A1204" t="str">
            <v xml:space="preserve">Хусанов Артикали </v>
          </cell>
        </row>
        <row r="1205">
          <cell r="A1205" t="str">
            <v>Цой Дмитрий Дмитриевич</v>
          </cell>
        </row>
        <row r="1206">
          <cell r="A1206" t="str">
            <v>Чагадаков Дуйшон Абдилакимович</v>
          </cell>
        </row>
        <row r="1207">
          <cell r="A1207" t="str">
            <v>Чебатырев Александр Степанович</v>
          </cell>
        </row>
        <row r="1208">
          <cell r="A1208" t="str">
            <v>Чепкасов Николай Александрович</v>
          </cell>
        </row>
        <row r="1209">
          <cell r="A1209" t="str">
            <v>Черных Дмитрий Михайлович</v>
          </cell>
        </row>
        <row r="1210">
          <cell r="A1210" t="str">
            <v>Чикин Игорь Викторович</v>
          </cell>
        </row>
        <row r="1211">
          <cell r="A1211" t="str">
            <v>Чокоев Данияр Асанбекович</v>
          </cell>
        </row>
        <row r="1212">
          <cell r="A1212" t="str">
            <v>Чокоев Суйорбек Зарылбекович</v>
          </cell>
        </row>
        <row r="1213">
          <cell r="A1213" t="str">
            <v>Чувайлов Алексей Александрович</v>
          </cell>
        </row>
        <row r="1214">
          <cell r="A1214" t="str">
            <v xml:space="preserve">Чулчиев Сагынбек </v>
          </cell>
        </row>
        <row r="1215">
          <cell r="A1215" t="str">
            <v>Чумаков Юрий Андреевич</v>
          </cell>
        </row>
        <row r="1216">
          <cell r="A1216" t="str">
            <v>Чура Сергей Владимирович</v>
          </cell>
        </row>
        <row r="1217">
          <cell r="A1217" t="str">
            <v>Чураков Виталий Геннадьевич</v>
          </cell>
        </row>
        <row r="1218">
          <cell r="A1218" t="str">
            <v>Чуриков Виктор Алексеевич</v>
          </cell>
        </row>
        <row r="1219">
          <cell r="A1219" t="str">
            <v>Чычканбаев Абдимажит Бердиярович</v>
          </cell>
        </row>
        <row r="1220">
          <cell r="A1220" t="str">
            <v>Шаболин Александр Иванович</v>
          </cell>
        </row>
        <row r="1221">
          <cell r="A1221" t="str">
            <v>Шагин Александр Юрьевич</v>
          </cell>
        </row>
        <row r="1222">
          <cell r="A1222" t="str">
            <v>Шадыжев Рашид Хусеинович</v>
          </cell>
        </row>
        <row r="1223">
          <cell r="A1223" t="str">
            <v xml:space="preserve">Шайдинов Адували Атамбекович </v>
          </cell>
        </row>
        <row r="1224">
          <cell r="A1224" t="str">
            <v>Шакиров Батыр Рафикович</v>
          </cell>
        </row>
        <row r="1225">
          <cell r="A1225" t="str">
            <v>Шалимбаев Алмабек Эрболотович</v>
          </cell>
        </row>
        <row r="1226">
          <cell r="A1226" t="str">
            <v>Шанабаев Уланбек Анарбаевич</v>
          </cell>
        </row>
        <row r="1227">
          <cell r="A1227" t="str">
            <v>Шапар Кирил Анатольевич</v>
          </cell>
        </row>
        <row r="1228">
          <cell r="A1228" t="str">
            <v xml:space="preserve">Шаповалов Александр Анатольевич </v>
          </cell>
        </row>
        <row r="1229">
          <cell r="A1229" t="str">
            <v>Шаповалов Валентин Игорьевич</v>
          </cell>
        </row>
        <row r="1230">
          <cell r="A1230" t="str">
            <v xml:space="preserve">Шапорев Анатолий Владимирович </v>
          </cell>
        </row>
        <row r="1231">
          <cell r="A1231" t="str">
            <v>Шарафутдинов Рустам Нургалиевич</v>
          </cell>
        </row>
        <row r="1232">
          <cell r="A1232" t="str">
            <v>Шарифов Камилбек Амирович</v>
          </cell>
        </row>
        <row r="1233">
          <cell r="A1233" t="str">
            <v>Шарунов Леонид Генадьевич</v>
          </cell>
        </row>
        <row r="1234">
          <cell r="A1234" t="str">
            <v>Шатурный Роман Викторович</v>
          </cell>
        </row>
        <row r="1235">
          <cell r="A1235" t="str">
            <v>Шеехметов Хизматтулла Валимахаметович</v>
          </cell>
        </row>
        <row r="1236">
          <cell r="A1236" t="str">
            <v xml:space="preserve">Шепилов Сергей Викторович </v>
          </cell>
        </row>
        <row r="1237">
          <cell r="A1237" t="str">
            <v>Шеренгин Владимир Николаевич</v>
          </cell>
        </row>
        <row r="1238">
          <cell r="A1238" t="str">
            <v>Шеров Нурмухаммед Адиамалыевич</v>
          </cell>
        </row>
        <row r="1239">
          <cell r="A1239" t="str">
            <v>Шершнев Сергей Михайлович</v>
          </cell>
        </row>
        <row r="1240">
          <cell r="A1240" t="str">
            <v>Шибеко Игорь Борисович</v>
          </cell>
        </row>
        <row r="1241">
          <cell r="A1241" t="str">
            <v xml:space="preserve">Шило Александр Анатольевич </v>
          </cell>
        </row>
        <row r="1242">
          <cell r="A1242" t="str">
            <v>Шимолин Владимир Иванович</v>
          </cell>
        </row>
        <row r="1243">
          <cell r="A1243" t="str">
            <v>Шишков Александр Викторович</v>
          </cell>
        </row>
        <row r="1244">
          <cell r="A1244" t="str">
            <v>Шишмарев Владимир Алексеевич</v>
          </cell>
        </row>
        <row r="1245">
          <cell r="A1245" t="str">
            <v>Шокубодов Суробшо Суфишоевич</v>
          </cell>
        </row>
        <row r="1246">
          <cell r="A1246" t="str">
            <v xml:space="preserve">Шокуров Александр Анатольевич </v>
          </cell>
        </row>
        <row r="1247">
          <cell r="A1247" t="str">
            <v>Шпрингер Александр Васильевич</v>
          </cell>
        </row>
        <row r="1248">
          <cell r="A1248" t="str">
            <v>Штанько Игорь Александрович</v>
          </cell>
        </row>
        <row r="1249">
          <cell r="A1249" t="str">
            <v xml:space="preserve">Шубин Виктор Андреевич </v>
          </cell>
        </row>
        <row r="1250">
          <cell r="A1250" t="str">
            <v xml:space="preserve">Щербаков Алексей Владимирович </v>
          </cell>
        </row>
        <row r="1251">
          <cell r="A1251" t="str">
            <v>Элебесов Болот Муканович</v>
          </cell>
        </row>
        <row r="1252">
          <cell r="A1252" t="str">
            <v>Эралиев Асанбек Мизамидинович</v>
          </cell>
        </row>
        <row r="1253">
          <cell r="A1253" t="str">
            <v>Эргазиев Сардор Мамурович</v>
          </cell>
        </row>
        <row r="1254">
          <cell r="A1254" t="str">
            <v xml:space="preserve">Эргашев Гуламжан Одилович </v>
          </cell>
        </row>
        <row r="1255">
          <cell r="A1255" t="str">
            <v>Эргашев Чынгыз Боходиржанович</v>
          </cell>
        </row>
        <row r="1256">
          <cell r="A1256" t="str">
            <v>Эргешбаев Эрлан Эргешбаевич</v>
          </cell>
        </row>
        <row r="1257">
          <cell r="A1257" t="str">
            <v>Эрдоолотов Абдурасул Жээнбекович</v>
          </cell>
        </row>
        <row r="1258">
          <cell r="A1258" t="str">
            <v>Эшалиев Кылычбек Низамбекович</v>
          </cell>
        </row>
        <row r="1259">
          <cell r="A1259" t="str">
            <v xml:space="preserve">Эшалиев Рустам Амантаевич </v>
          </cell>
        </row>
        <row r="1260">
          <cell r="A1260" t="str">
            <v xml:space="preserve">Эшалиев Эргазы Осконбаевич </v>
          </cell>
        </row>
        <row r="1261">
          <cell r="A1261" t="str">
            <v xml:space="preserve">Юлдашев Азизбек Набиевич </v>
          </cell>
        </row>
        <row r="1262">
          <cell r="A1262" t="str">
            <v>Юлдашев Валижон Парпибаевич</v>
          </cell>
        </row>
        <row r="1263">
          <cell r="A1263" t="str">
            <v xml:space="preserve">Юлдашев Миробиджан Абдукаримович </v>
          </cell>
        </row>
        <row r="1264">
          <cell r="A1264" t="str">
            <v>Юлдашев Надир Абдурахманович</v>
          </cell>
        </row>
        <row r="1265">
          <cell r="A1265" t="str">
            <v>Юлдашев Хамидулла Эргашович</v>
          </cell>
        </row>
        <row r="1266">
          <cell r="A1266" t="str">
            <v>Юлдашев Эрнест Равильевич</v>
          </cell>
        </row>
        <row r="1267">
          <cell r="A1267" t="str">
            <v xml:space="preserve">Юлдащев Абдрали Сапарович </v>
          </cell>
        </row>
        <row r="1268">
          <cell r="A1268" t="str">
            <v>Юрковский Артем Константинович</v>
          </cell>
        </row>
        <row r="1269">
          <cell r="A1269" t="str">
            <v>Юрова Ирина Александровна</v>
          </cell>
        </row>
        <row r="1270">
          <cell r="A1270" t="str">
            <v>Юрова Нафиса Гилазетдиновна</v>
          </cell>
        </row>
        <row r="1271">
          <cell r="A1271" t="str">
            <v>Юрченко Марина Викторовна</v>
          </cell>
        </row>
        <row r="1272">
          <cell r="A1272" t="str">
            <v>Юрьев Юрий Александрович</v>
          </cell>
        </row>
        <row r="1273">
          <cell r="A1273" t="str">
            <v xml:space="preserve">Юсупов Джумахун Мамаджанович </v>
          </cell>
        </row>
        <row r="1274">
          <cell r="A1274" t="str">
            <v>Юсупов Керимжан Исмаилович</v>
          </cell>
        </row>
        <row r="1275">
          <cell r="A1275" t="str">
            <v>Юсупов Руслан Якубович</v>
          </cell>
        </row>
        <row r="1276">
          <cell r="A1276" t="str">
            <v>Юсупхаджиев Муходи Мавладиевич</v>
          </cell>
        </row>
        <row r="1277">
          <cell r="A1277" t="str">
            <v xml:space="preserve">Яковлев Александр Витальевич </v>
          </cell>
        </row>
        <row r="1278">
          <cell r="A1278" t="str">
            <v>Якупов Заир Абдумаликович</v>
          </cell>
        </row>
        <row r="1279">
          <cell r="A1279" t="str">
            <v>Янгаев Николай Георгиевич</v>
          </cell>
        </row>
        <row r="1280">
          <cell r="A1280" t="str">
            <v>Яркинбаев Шамсудин Гуламжанович</v>
          </cell>
        </row>
        <row r="1281">
          <cell r="A1281" t="str">
            <v>Ярускин Сергей Семенович</v>
          </cell>
        </row>
        <row r="1282">
          <cell r="A1282" t="str">
            <v>Ярынчак Игорь Михайлович</v>
          </cell>
        </row>
        <row r="1283">
          <cell r="A1283" t="str">
            <v xml:space="preserve">Яхяев Жохангир Шарабидинович </v>
          </cell>
        </row>
        <row r="1284">
          <cell r="A1284" t="str">
            <v>ОТ КОНКУРЕНТОВ</v>
          </cell>
        </row>
        <row r="1285">
          <cell r="A1285" t="str">
            <v>Асанбек уулу Адилет</v>
          </cell>
        </row>
        <row r="1286">
          <cell r="A1286" t="str">
            <v>Рысбеков Урмат Рысбекович</v>
          </cell>
        </row>
        <row r="1287">
          <cell r="A1287" t="str">
            <v>Пахомов Александр</v>
          </cell>
        </row>
        <row r="1288">
          <cell r="A1288" t="str">
            <v>Нуралиев Ренат</v>
          </cell>
        </row>
        <row r="1289">
          <cell r="A1289" t="str">
            <v>Беделова Анара Бекмаматовна</v>
          </cell>
        </row>
        <row r="1290">
          <cell r="A1290" t="str">
            <v>Уланбек уулу Айдар</v>
          </cell>
        </row>
        <row r="1291">
          <cell r="A1291" t="str">
            <v>Сарыгулов Сымык Сарыгулович</v>
          </cell>
        </row>
        <row r="1292">
          <cell r="A1292" t="str">
            <v>Эмил уулу Эркинбек</v>
          </cell>
        </row>
        <row r="1293">
          <cell r="A1293" t="str">
            <v>Купешев Ренат Кайбылдаевич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Лист1"/>
      <sheetName val="Число прописью валюта"/>
    </sheetNames>
    <definedNames>
      <definedName name="ЧислоПрописьюВалюта"/>
    </defined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s://arenda.lvl.kg/category/judgmen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1:T138"/>
  <sheetViews>
    <sheetView tabSelected="1" topLeftCell="A8" zoomScale="80" zoomScaleNormal="80" workbookViewId="0">
      <selection activeCell="A12" sqref="A12:H12"/>
    </sheetView>
  </sheetViews>
  <sheetFormatPr defaultRowHeight="15" x14ac:dyDescent="0.25"/>
  <cols>
    <col min="1" max="1" width="8.5703125" customWidth="1"/>
    <col min="7" max="7" width="10.28515625" customWidth="1"/>
    <col min="8" max="8" width="11" customWidth="1"/>
    <col min="9" max="9" width="10.5703125" customWidth="1"/>
    <col min="10" max="10" width="9.85546875" customWidth="1"/>
    <col min="11" max="11" width="13.5703125" customWidth="1"/>
    <col min="12" max="12" width="9.28515625" customWidth="1"/>
    <col min="13" max="13" width="15.85546875" customWidth="1"/>
    <col min="14" max="14" width="10.5703125" customWidth="1"/>
    <col min="15" max="15" width="12.28515625" customWidth="1"/>
    <col min="16" max="16" width="17.42578125" customWidth="1"/>
    <col min="17" max="17" width="2.85546875" customWidth="1"/>
    <col min="18" max="18" width="18.85546875" customWidth="1"/>
    <col min="19" max="19" width="19.28515625" customWidth="1"/>
  </cols>
  <sheetData>
    <row r="1" spans="1:19" ht="13.5" customHeight="1" x14ac:dyDescent="0.25"/>
    <row r="2" spans="1:19" ht="15" customHeight="1" x14ac:dyDescent="0.25"/>
    <row r="4" spans="1:19" ht="23.25" customHeight="1" x14ac:dyDescent="0.3">
      <c r="A4" s="285" t="str">
        <f>'Пр №1'!B20</f>
        <v>{{TOOL_NAME}}</v>
      </c>
      <c r="B4" s="285"/>
      <c r="C4" s="285"/>
      <c r="D4" s="286">
        <f ca="1">'Пр №1'!J20</f>
        <v>45982.790570370373</v>
      </c>
      <c r="E4" s="286"/>
      <c r="F4" s="286">
        <f ca="1">'Пр №1'!L20</f>
        <v>45982.790570370373</v>
      </c>
      <c r="G4" s="286"/>
      <c r="H4" s="289">
        <f>'Пр №1'!P30</f>
        <v>3000</v>
      </c>
      <c r="I4" s="289"/>
      <c r="J4" s="86"/>
      <c r="K4" s="86"/>
      <c r="L4" s="86"/>
      <c r="M4" s="86"/>
      <c r="N4" s="86"/>
      <c r="O4" s="86"/>
      <c r="P4" s="87"/>
    </row>
    <row r="5" spans="1:19" ht="18.75" customHeight="1" x14ac:dyDescent="0.3">
      <c r="A5" s="285"/>
      <c r="B5" s="285"/>
      <c r="C5" s="285"/>
      <c r="D5" s="287">
        <f ca="1">'Пр №1'!J21</f>
        <v>45982</v>
      </c>
      <c r="E5" s="288"/>
      <c r="F5" s="287">
        <f ca="1">'Пр №1'!L21</f>
        <v>45983</v>
      </c>
      <c r="G5" s="288"/>
      <c r="H5" s="289"/>
      <c r="I5" s="289"/>
      <c r="J5" s="86"/>
      <c r="K5" s="86"/>
      <c r="L5" s="86"/>
      <c r="M5" s="86"/>
      <c r="N5" s="86"/>
      <c r="O5" s="86"/>
    </row>
    <row r="7" spans="1:19" ht="21.75" thickBot="1" x14ac:dyDescent="0.4">
      <c r="B7" s="295" t="s">
        <v>26</v>
      </c>
      <c r="C7" s="295"/>
      <c r="D7" s="291" t="s">
        <v>799</v>
      </c>
      <c r="E7" s="291"/>
      <c r="F7" s="291"/>
      <c r="G7" s="291"/>
      <c r="H7" s="291"/>
      <c r="I7" s="291"/>
      <c r="K7" s="295" t="s">
        <v>26</v>
      </c>
      <c r="L7" s="295"/>
      <c r="M7" s="293" t="s">
        <v>798</v>
      </c>
      <c r="N7" s="294"/>
      <c r="O7" s="294"/>
    </row>
    <row r="8" spans="1:19" ht="23.25" customHeight="1" x14ac:dyDescent="0.35">
      <c r="G8" s="300" t="s">
        <v>666</v>
      </c>
      <c r="H8" s="300"/>
      <c r="I8" s="300"/>
      <c r="J8" s="5">
        <v>1</v>
      </c>
      <c r="K8" s="1"/>
      <c r="L8" s="296" t="s">
        <v>613</v>
      </c>
      <c r="M8" s="296"/>
      <c r="N8" s="296"/>
      <c r="O8" s="296"/>
    </row>
    <row r="9" spans="1:19" ht="29.25" thickBot="1" x14ac:dyDescent="0.5">
      <c r="A9" s="298" t="s">
        <v>345</v>
      </c>
      <c r="B9" s="298"/>
      <c r="C9" s="298"/>
      <c r="D9" s="298"/>
      <c r="E9" s="298"/>
      <c r="F9" s="298"/>
      <c r="G9" s="298"/>
      <c r="H9" s="298"/>
      <c r="I9" s="298"/>
      <c r="J9" s="298"/>
      <c r="K9" s="298"/>
      <c r="L9" s="298"/>
      <c r="M9" s="298"/>
      <c r="N9" s="298"/>
      <c r="O9" s="298"/>
      <c r="P9" s="298"/>
      <c r="R9" s="274" t="str">
        <f t="array" ref="R9">IFERROR(VLOOKUP(TRIM("*"&amp;A18&amp;"*"),TRIM(_xlfn.SINGLE('[1]Умная таблица'!$A$1:$G$1057)),4,FALSE),"Нет данных")</f>
        <v>Нет данных</v>
      </c>
      <c r="S9" s="276" t="str">
        <f t="array" ref="S9">IFERROR(MATCH(TRIM("*"&amp;A18&amp;"*"),TRIM('[1]Умная таблица'!$A:$A),0),"Нет данных")</f>
        <v>Нет данных</v>
      </c>
    </row>
    <row r="10" spans="1:19" ht="27" thickBot="1" x14ac:dyDescent="0.45">
      <c r="A10" s="297"/>
      <c r="B10" s="297"/>
      <c r="C10" s="297"/>
      <c r="D10" s="297"/>
      <c r="E10" s="297"/>
      <c r="F10" s="297"/>
      <c r="G10" s="297"/>
      <c r="H10" s="297"/>
      <c r="I10" s="19" t="s">
        <v>17</v>
      </c>
      <c r="J10" s="222">
        <f ca="1">J13</f>
        <v>21</v>
      </c>
      <c r="K10" s="223">
        <f ca="1">MONTH(L13&amp;11)</f>
        <v>11</v>
      </c>
      <c r="L10" s="223">
        <f ca="1">N13</f>
        <v>2025</v>
      </c>
      <c r="M10" s="224">
        <f ca="1">D4</f>
        <v>45982.790570370373</v>
      </c>
      <c r="N10" s="225">
        <f>J8</f>
        <v>1</v>
      </c>
      <c r="O10" s="2"/>
      <c r="P10" s="82" t="s">
        <v>696</v>
      </c>
      <c r="R10" s="275"/>
      <c r="S10" s="276"/>
    </row>
    <row r="11" spans="1:19" ht="24" thickBot="1" x14ac:dyDescent="0.4">
      <c r="A11" s="7"/>
      <c r="B11" s="7"/>
      <c r="C11" s="7"/>
      <c r="D11" s="7"/>
      <c r="E11" s="7"/>
      <c r="F11" s="7"/>
      <c r="G11" s="7"/>
      <c r="H11" s="7"/>
      <c r="I11" s="5"/>
      <c r="J11" s="7"/>
      <c r="K11" s="5"/>
      <c r="L11" s="5"/>
      <c r="M11" s="5"/>
      <c r="N11" s="8"/>
      <c r="O11" s="2"/>
      <c r="P11" s="89">
        <f ca="1">+TODAY()</f>
        <v>45982</v>
      </c>
      <c r="R11" s="120"/>
      <c r="S11" s="120"/>
    </row>
    <row r="12" spans="1:19" ht="21.75" thickBot="1" x14ac:dyDescent="0.4">
      <c r="A12" s="313" t="s">
        <v>800</v>
      </c>
      <c r="B12" s="314"/>
      <c r="C12" s="314"/>
      <c r="D12" s="314"/>
      <c r="E12" s="314"/>
      <c r="F12" s="314"/>
      <c r="G12" s="314"/>
      <c r="H12" s="315"/>
      <c r="I12" s="3"/>
      <c r="J12" s="3"/>
      <c r="K12" s="3"/>
      <c r="L12" s="292"/>
      <c r="M12" s="292"/>
      <c r="N12" s="3"/>
      <c r="O12" s="3"/>
      <c r="R12" s="276" t="str">
        <f t="array" ref="R12">IFERROR(VLOOKUP(TRIM(A18),TRIM('[1]Умная таблица'!$A$1:$G$1057),4,FALSE),"Нет данных")</f>
        <v>Нет данных</v>
      </c>
      <c r="S12" s="276" t="str">
        <f t="array" ref="S12">IFERROR(MATCH(TRIM(A18),TRIM('[1]Умная таблица'!$A:$A),0),"Нет данных")</f>
        <v>Нет данных</v>
      </c>
    </row>
    <row r="13" spans="1:19" ht="21" x14ac:dyDescent="0.35">
      <c r="A13" s="1"/>
      <c r="B13" s="296" t="s">
        <v>11</v>
      </c>
      <c r="C13" s="296"/>
      <c r="D13" s="296"/>
      <c r="E13" s="296"/>
      <c r="F13" s="1"/>
      <c r="G13" s="1"/>
      <c r="H13" s="1"/>
      <c r="I13" s="7" t="s">
        <v>24</v>
      </c>
      <c r="J13" s="5">
        <f ca="1">DAY(TODAY())</f>
        <v>21</v>
      </c>
      <c r="K13" s="6" t="s">
        <v>23</v>
      </c>
      <c r="L13" s="301" t="str">
        <f ca="1">TEXT(P11,"ММММ")</f>
        <v>Ноябрь</v>
      </c>
      <c r="M13" s="301"/>
      <c r="N13" s="1">
        <f ca="1">YEAR(TODAY())</f>
        <v>2025</v>
      </c>
      <c r="O13" s="1" t="s">
        <v>94</v>
      </c>
      <c r="R13" s="276"/>
      <c r="S13" s="276"/>
    </row>
    <row r="14" spans="1:19" ht="21" x14ac:dyDescent="0.35">
      <c r="A14" s="305" t="s">
        <v>779</v>
      </c>
      <c r="B14" s="305"/>
      <c r="C14" s="305"/>
      <c r="D14" s="305"/>
      <c r="E14" s="305"/>
      <c r="F14" s="305"/>
      <c r="G14" s="290" t="s">
        <v>789</v>
      </c>
      <c r="H14" s="290"/>
      <c r="I14" s="290"/>
      <c r="J14" s="290"/>
      <c r="K14" s="290"/>
      <c r="L14" s="290"/>
      <c r="M14" s="290"/>
      <c r="N14" s="290"/>
      <c r="O14" s="290"/>
      <c r="P14" s="290"/>
    </row>
    <row r="15" spans="1:19" ht="21" x14ac:dyDescent="0.25">
      <c r="A15" s="278" t="s">
        <v>614</v>
      </c>
      <c r="B15" s="278"/>
      <c r="C15" s="278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78"/>
      <c r="O15" s="278"/>
      <c r="P15" s="278"/>
    </row>
    <row r="16" spans="1:19" ht="21" x14ac:dyDescent="0.25">
      <c r="A16" s="278" t="s">
        <v>780</v>
      </c>
      <c r="B16" s="278"/>
      <c r="C16" s="278"/>
      <c r="D16" s="278"/>
      <c r="E16" s="278"/>
      <c r="F16" s="278"/>
      <c r="G16" s="278"/>
      <c r="H16" s="278"/>
      <c r="I16" s="278"/>
      <c r="J16" s="278"/>
      <c r="K16" s="278"/>
      <c r="L16" s="278"/>
      <c r="M16" s="278"/>
      <c r="N16" s="278"/>
      <c r="O16" s="278"/>
      <c r="P16" s="278"/>
    </row>
    <row r="17" spans="1:19" ht="21" x14ac:dyDescent="0.25">
      <c r="A17" s="277" t="s">
        <v>28</v>
      </c>
      <c r="B17" s="277"/>
      <c r="C17" s="303">
        <v>22212200650516</v>
      </c>
      <c r="D17" s="303"/>
      <c r="E17" s="303"/>
      <c r="F17" s="303"/>
      <c r="G17" s="303"/>
      <c r="H17" s="277" t="s">
        <v>84</v>
      </c>
      <c r="I17" s="277"/>
      <c r="J17" s="277"/>
      <c r="K17" s="277"/>
      <c r="L17" s="277"/>
      <c r="M17" s="277"/>
      <c r="N17" s="277"/>
      <c r="O17" s="277"/>
      <c r="P17" s="277"/>
    </row>
    <row r="18" spans="1:19" ht="21" x14ac:dyDescent="0.25">
      <c r="A18" s="283" t="s">
        <v>797</v>
      </c>
      <c r="B18" s="283"/>
      <c r="C18" s="283"/>
      <c r="D18" s="283"/>
      <c r="E18" s="283"/>
      <c r="F18" s="283"/>
      <c r="G18" s="283"/>
      <c r="H18" s="283"/>
      <c r="I18" s="277" t="s">
        <v>72</v>
      </c>
      <c r="J18" s="277"/>
      <c r="K18" s="277"/>
      <c r="L18" s="277"/>
      <c r="M18" s="277"/>
      <c r="N18" s="277"/>
      <c r="O18" s="277"/>
      <c r="P18" s="277"/>
    </row>
    <row r="19" spans="1:19" ht="21" x14ac:dyDescent="0.25">
      <c r="A19" s="272" t="s">
        <v>34</v>
      </c>
      <c r="B19" s="272"/>
      <c r="C19" s="272"/>
      <c r="D19" s="272"/>
      <c r="E19" s="20" t="s">
        <v>552</v>
      </c>
      <c r="F19" s="21" t="s">
        <v>12</v>
      </c>
      <c r="G19" s="299" t="s">
        <v>553</v>
      </c>
      <c r="H19" s="299"/>
      <c r="I19" s="21" t="s">
        <v>35</v>
      </c>
      <c r="J19" s="20" t="s">
        <v>555</v>
      </c>
      <c r="K19" s="20" t="s">
        <v>554</v>
      </c>
      <c r="L19" s="20" t="s">
        <v>250</v>
      </c>
      <c r="M19" s="99" t="s">
        <v>554</v>
      </c>
      <c r="N19" s="277" t="s">
        <v>73</v>
      </c>
      <c r="O19" s="277"/>
      <c r="P19" s="277"/>
    </row>
    <row r="20" spans="1:19" ht="21" x14ac:dyDescent="0.25">
      <c r="A20" s="277" t="s">
        <v>36</v>
      </c>
      <c r="B20" s="277"/>
      <c r="C20" s="299" t="s">
        <v>603</v>
      </c>
      <c r="D20" s="299"/>
      <c r="E20" s="299"/>
      <c r="F20" s="299"/>
      <c r="G20" s="299"/>
      <c r="H20" s="299"/>
      <c r="I20" s="299"/>
      <c r="J20" s="299" t="s">
        <v>604</v>
      </c>
      <c r="K20" s="299"/>
      <c r="L20" s="299"/>
      <c r="M20" s="299"/>
      <c r="N20" s="277" t="s">
        <v>37</v>
      </c>
      <c r="O20" s="277"/>
      <c r="P20" s="277"/>
      <c r="S20" s="143"/>
    </row>
    <row r="21" spans="1:19" ht="21" x14ac:dyDescent="0.25">
      <c r="A21" s="299" t="str">
        <f>C20</f>
        <v>Чуйская область г. Бишкек</v>
      </c>
      <c r="B21" s="299"/>
      <c r="C21" s="299"/>
      <c r="D21" s="299"/>
      <c r="E21" s="299"/>
      <c r="F21" s="299"/>
      <c r="G21" s="299"/>
      <c r="H21" s="299"/>
      <c r="I21" s="299" t="str">
        <f>J20</f>
        <v>ул. ХХХХХ</v>
      </c>
      <c r="J21" s="299"/>
      <c r="K21" s="299"/>
      <c r="L21" s="299"/>
      <c r="M21" s="299"/>
      <c r="N21" s="299"/>
      <c r="O21" s="299"/>
      <c r="P21" s="299"/>
    </row>
    <row r="22" spans="1:19" ht="21" x14ac:dyDescent="0.25">
      <c r="A22" s="299" t="s">
        <v>252</v>
      </c>
      <c r="B22" s="299"/>
      <c r="C22" s="304" t="s">
        <v>554</v>
      </c>
      <c r="D22" s="304"/>
      <c r="E22" s="304"/>
      <c r="F22" s="304"/>
      <c r="G22" s="299" t="s">
        <v>39</v>
      </c>
      <c r="H22" s="299"/>
      <c r="I22" s="299"/>
      <c r="J22" s="299"/>
      <c r="K22" s="299"/>
      <c r="L22" s="299"/>
      <c r="M22" s="299"/>
      <c r="N22" s="299"/>
      <c r="O22" s="299"/>
      <c r="P22" s="299"/>
    </row>
    <row r="23" spans="1:19" ht="21" x14ac:dyDescent="0.25">
      <c r="A23" s="302" t="s">
        <v>553</v>
      </c>
      <c r="B23" s="283"/>
      <c r="C23" s="284" t="s">
        <v>138</v>
      </c>
      <c r="D23" s="284"/>
      <c r="E23" s="284"/>
      <c r="F23" s="277" t="s">
        <v>134</v>
      </c>
      <c r="G23" s="277"/>
      <c r="H23" s="277"/>
      <c r="I23" s="277"/>
      <c r="J23" s="277"/>
      <c r="K23" s="277"/>
      <c r="L23" s="277"/>
      <c r="M23" s="277"/>
      <c r="N23" s="277"/>
      <c r="O23" s="277"/>
      <c r="P23" s="277"/>
    </row>
    <row r="24" spans="1:19" ht="21" x14ac:dyDescent="0.25">
      <c r="A24" s="284" t="s">
        <v>0</v>
      </c>
      <c r="B24" s="284"/>
      <c r="C24" s="284"/>
      <c r="D24" s="284"/>
      <c r="E24" s="284"/>
      <c r="F24" s="284"/>
      <c r="G24" s="284"/>
      <c r="H24" s="284"/>
      <c r="I24" s="284"/>
      <c r="J24" s="284"/>
      <c r="K24" s="284"/>
      <c r="L24" s="284"/>
      <c r="M24" s="284"/>
      <c r="N24" s="284"/>
      <c r="O24" s="284"/>
      <c r="P24" s="22"/>
    </row>
    <row r="25" spans="1:19" ht="21" x14ac:dyDescent="0.25">
      <c r="A25" s="277" t="s">
        <v>463</v>
      </c>
      <c r="B25" s="277"/>
      <c r="C25" s="277"/>
      <c r="D25" s="277"/>
      <c r="E25" s="277"/>
      <c r="F25" s="277"/>
      <c r="G25" s="277"/>
      <c r="H25" s="277"/>
      <c r="I25" s="277"/>
      <c r="J25" s="277"/>
      <c r="K25" s="277"/>
      <c r="L25" s="277"/>
      <c r="M25" s="277"/>
      <c r="N25" s="277"/>
      <c r="O25" s="277"/>
      <c r="P25" s="277"/>
    </row>
    <row r="26" spans="1:19" ht="21" x14ac:dyDescent="0.25">
      <c r="A26" s="277" t="s">
        <v>464</v>
      </c>
      <c r="B26" s="277"/>
      <c r="C26" s="277"/>
      <c r="D26" s="277"/>
      <c r="E26" s="277"/>
      <c r="F26" s="277"/>
      <c r="G26" s="277"/>
      <c r="H26" s="277"/>
      <c r="I26" s="277"/>
      <c r="J26" s="277"/>
      <c r="K26" s="277"/>
      <c r="L26" s="277"/>
      <c r="M26" s="277"/>
      <c r="N26" s="277"/>
      <c r="O26" s="277"/>
      <c r="P26" s="277"/>
    </row>
    <row r="27" spans="1:19" ht="21" x14ac:dyDescent="0.25">
      <c r="A27" s="277" t="s">
        <v>531</v>
      </c>
      <c r="B27" s="277"/>
      <c r="C27" s="277"/>
      <c r="D27" s="277"/>
      <c r="E27" s="277"/>
      <c r="F27" s="277"/>
      <c r="G27" s="277"/>
      <c r="H27" s="277"/>
      <c r="I27" s="277"/>
      <c r="J27" s="277"/>
      <c r="K27" s="277"/>
      <c r="L27" s="277"/>
      <c r="M27" s="277"/>
      <c r="N27" s="277"/>
      <c r="O27" s="277"/>
      <c r="P27" s="277"/>
    </row>
    <row r="28" spans="1:19" ht="21" x14ac:dyDescent="0.25">
      <c r="A28" s="277" t="s">
        <v>465</v>
      </c>
      <c r="B28" s="277"/>
      <c r="C28" s="277"/>
      <c r="D28" s="277"/>
      <c r="E28" s="277"/>
      <c r="F28" s="277"/>
      <c r="G28" s="277"/>
      <c r="H28" s="277"/>
      <c r="I28" s="277"/>
      <c r="J28" s="277"/>
      <c r="K28" s="277"/>
      <c r="L28" s="277"/>
      <c r="M28" s="277"/>
      <c r="N28" s="277"/>
      <c r="O28" s="277"/>
      <c r="P28" s="277"/>
    </row>
    <row r="29" spans="1:19" ht="21" x14ac:dyDescent="0.25">
      <c r="A29" s="277" t="s">
        <v>532</v>
      </c>
      <c r="B29" s="277"/>
      <c r="C29" s="277"/>
      <c r="D29" s="277"/>
      <c r="E29" s="277"/>
      <c r="F29" s="277"/>
      <c r="G29" s="277"/>
      <c r="H29" s="277"/>
      <c r="I29" s="277"/>
      <c r="J29" s="277"/>
      <c r="K29" s="277"/>
      <c r="L29" s="277"/>
      <c r="M29" s="277"/>
      <c r="N29" s="277"/>
      <c r="O29" s="277"/>
      <c r="P29" s="277"/>
    </row>
    <row r="30" spans="1:19" ht="21" x14ac:dyDescent="0.25">
      <c r="A30" s="278" t="s">
        <v>644</v>
      </c>
      <c r="B30" s="278"/>
      <c r="C30" s="278"/>
      <c r="D30" s="278"/>
      <c r="E30" s="278"/>
      <c r="F30" s="278"/>
      <c r="G30" s="278"/>
      <c r="H30" s="278"/>
      <c r="I30" s="278"/>
      <c r="J30" s="278"/>
      <c r="K30" s="278"/>
      <c r="L30" s="278"/>
      <c r="M30" s="278"/>
      <c r="N30" s="278"/>
      <c r="O30" s="278"/>
      <c r="P30" s="278"/>
    </row>
    <row r="31" spans="1:19" ht="21" x14ac:dyDescent="0.25">
      <c r="A31" s="277" t="s">
        <v>466</v>
      </c>
      <c r="B31" s="277"/>
      <c r="C31" s="277"/>
      <c r="D31" s="277"/>
      <c r="E31" s="277"/>
      <c r="F31" s="277"/>
      <c r="G31" s="277"/>
      <c r="H31" s="277"/>
      <c r="I31" s="277"/>
      <c r="J31" s="277"/>
      <c r="K31" s="277"/>
      <c r="L31" s="277"/>
      <c r="M31" s="277"/>
      <c r="N31" s="277"/>
      <c r="O31" s="277"/>
      <c r="P31" s="277"/>
    </row>
    <row r="32" spans="1:19" ht="21" x14ac:dyDescent="0.25">
      <c r="A32" s="277" t="s">
        <v>467</v>
      </c>
      <c r="B32" s="277"/>
      <c r="C32" s="277"/>
      <c r="D32" s="277"/>
      <c r="E32" s="277"/>
      <c r="F32" s="277"/>
      <c r="G32" s="277"/>
      <c r="H32" s="277"/>
      <c r="I32" s="277"/>
      <c r="J32" s="277"/>
      <c r="K32" s="277"/>
      <c r="L32" s="277"/>
      <c r="M32" s="277"/>
      <c r="N32" s="277"/>
      <c r="O32" s="277"/>
      <c r="P32" s="277"/>
    </row>
    <row r="33" spans="1:16" ht="21" x14ac:dyDescent="0.25">
      <c r="A33" s="277" t="s">
        <v>533</v>
      </c>
      <c r="B33" s="277"/>
      <c r="C33" s="277"/>
      <c r="D33" s="277"/>
      <c r="E33" s="277"/>
      <c r="F33" s="277"/>
      <c r="G33" s="277"/>
      <c r="H33" s="277"/>
      <c r="I33" s="277"/>
      <c r="J33" s="277"/>
      <c r="K33" s="277"/>
      <c r="L33" s="277"/>
      <c r="M33" s="277"/>
      <c r="N33" s="277"/>
      <c r="O33" s="277"/>
      <c r="P33" s="277"/>
    </row>
    <row r="34" spans="1:16" ht="21" x14ac:dyDescent="0.25">
      <c r="A34" s="277" t="s">
        <v>462</v>
      </c>
      <c r="B34" s="277"/>
      <c r="C34" s="277"/>
      <c r="D34" s="277"/>
      <c r="E34" s="277"/>
      <c r="F34" s="277"/>
      <c r="G34" s="277"/>
      <c r="H34" s="277"/>
      <c r="I34" s="277"/>
      <c r="J34" s="277"/>
      <c r="K34" s="277"/>
      <c r="L34" s="277"/>
      <c r="M34" s="277"/>
      <c r="N34" s="277"/>
      <c r="O34" s="277"/>
      <c r="P34" s="277"/>
    </row>
    <row r="35" spans="1:16" ht="21" x14ac:dyDescent="0.25">
      <c r="A35" s="284" t="s">
        <v>253</v>
      </c>
      <c r="B35" s="284"/>
      <c r="C35" s="284"/>
      <c r="D35" s="284"/>
      <c r="E35" s="284"/>
      <c r="F35" s="284"/>
      <c r="G35" s="284"/>
      <c r="H35" s="284"/>
      <c r="I35" s="284"/>
      <c r="J35" s="284"/>
      <c r="K35" s="284"/>
      <c r="L35" s="284"/>
      <c r="M35" s="284"/>
      <c r="N35" s="284"/>
      <c r="O35" s="284"/>
      <c r="P35" s="284"/>
    </row>
    <row r="36" spans="1:16" ht="21" x14ac:dyDescent="0.25">
      <c r="A36" s="272" t="s">
        <v>254</v>
      </c>
      <c r="B36" s="272"/>
      <c r="C36" s="272"/>
      <c r="D36" s="272"/>
      <c r="E36" s="272"/>
      <c r="F36" s="272"/>
      <c r="G36" s="272"/>
      <c r="H36" s="272"/>
      <c r="I36" s="272"/>
      <c r="J36" s="272"/>
      <c r="K36" s="272"/>
      <c r="L36" s="272"/>
      <c r="M36" s="272"/>
      <c r="N36" s="272"/>
      <c r="O36" s="272"/>
      <c r="P36" s="272"/>
    </row>
    <row r="37" spans="1:16" ht="21" x14ac:dyDescent="0.25">
      <c r="A37" s="272" t="s">
        <v>356</v>
      </c>
      <c r="B37" s="272"/>
      <c r="C37" s="272"/>
      <c r="D37" s="272"/>
      <c r="E37" s="272"/>
      <c r="F37" s="272"/>
      <c r="G37" s="272"/>
      <c r="H37" s="272"/>
      <c r="I37" s="272"/>
      <c r="J37" s="272"/>
      <c r="K37" s="272"/>
      <c r="L37" s="272"/>
      <c r="M37" s="272"/>
      <c r="N37" s="272"/>
      <c r="O37" s="272"/>
      <c r="P37" s="272"/>
    </row>
    <row r="38" spans="1:16" ht="21" x14ac:dyDescent="0.25">
      <c r="A38" s="277" t="s">
        <v>255</v>
      </c>
      <c r="B38" s="277"/>
      <c r="C38" s="277"/>
      <c r="D38" s="277"/>
      <c r="E38" s="277"/>
      <c r="F38" s="277"/>
      <c r="G38" s="277"/>
      <c r="H38" s="277"/>
      <c r="I38" s="277"/>
      <c r="J38" s="277"/>
      <c r="K38" s="277"/>
      <c r="L38" s="277"/>
      <c r="M38" s="277"/>
      <c r="N38" s="277"/>
      <c r="O38" s="277"/>
      <c r="P38" s="277"/>
    </row>
    <row r="39" spans="1:16" ht="21" x14ac:dyDescent="0.25">
      <c r="A39" s="280" t="s">
        <v>468</v>
      </c>
      <c r="B39" s="281"/>
      <c r="C39" s="281"/>
      <c r="D39" s="281"/>
      <c r="E39" s="281"/>
      <c r="F39" s="281"/>
      <c r="G39" s="281"/>
      <c r="H39" s="281"/>
      <c r="I39" s="281"/>
      <c r="J39" s="281"/>
      <c r="K39" s="281"/>
      <c r="L39" s="281"/>
      <c r="M39" s="281"/>
      <c r="N39" s="281"/>
      <c r="O39" s="281"/>
      <c r="P39" s="281"/>
    </row>
    <row r="40" spans="1:16" ht="21" x14ac:dyDescent="0.25">
      <c r="A40" s="277" t="s">
        <v>469</v>
      </c>
      <c r="B40" s="277"/>
      <c r="C40" s="277"/>
      <c r="D40" s="277"/>
      <c r="E40" s="277"/>
      <c r="F40" s="277"/>
      <c r="G40" s="277"/>
      <c r="H40" s="277"/>
      <c r="I40" s="277"/>
      <c r="J40" s="277"/>
      <c r="K40" s="277"/>
      <c r="L40" s="277"/>
      <c r="M40" s="277"/>
      <c r="N40" s="277"/>
      <c r="O40" s="277"/>
      <c r="P40" s="277"/>
    </row>
    <row r="41" spans="1:16" ht="21" x14ac:dyDescent="0.25">
      <c r="A41" s="280" t="s">
        <v>470</v>
      </c>
      <c r="B41" s="281"/>
      <c r="C41" s="281"/>
      <c r="D41" s="281"/>
      <c r="E41" s="281"/>
      <c r="F41" s="281"/>
      <c r="G41" s="281"/>
      <c r="H41" s="281"/>
      <c r="I41" s="281"/>
      <c r="J41" s="281"/>
      <c r="K41" s="281"/>
      <c r="L41" s="281"/>
      <c r="M41" s="281"/>
      <c r="N41" s="281"/>
      <c r="O41" s="281"/>
      <c r="P41" s="281"/>
    </row>
    <row r="42" spans="1:16" ht="21" x14ac:dyDescent="0.25">
      <c r="A42" s="277" t="s">
        <v>471</v>
      </c>
      <c r="B42" s="277"/>
      <c r="C42" s="277"/>
      <c r="D42" s="277"/>
      <c r="E42" s="277"/>
      <c r="F42" s="277"/>
      <c r="G42" s="277"/>
      <c r="H42" s="277"/>
      <c r="I42" s="277"/>
      <c r="J42" s="277"/>
      <c r="K42" s="277"/>
      <c r="L42" s="277"/>
      <c r="M42" s="277"/>
      <c r="N42" s="277"/>
      <c r="O42" s="277"/>
      <c r="P42" s="277"/>
    </row>
    <row r="43" spans="1:16" ht="21" x14ac:dyDescent="0.25">
      <c r="A43" s="280" t="s">
        <v>472</v>
      </c>
      <c r="B43" s="281"/>
      <c r="C43" s="281"/>
      <c r="D43" s="281"/>
      <c r="E43" s="281"/>
      <c r="F43" s="281"/>
      <c r="G43" s="281"/>
      <c r="H43" s="281"/>
      <c r="I43" s="281"/>
      <c r="J43" s="281"/>
      <c r="K43" s="281"/>
      <c r="L43" s="281"/>
      <c r="M43" s="281"/>
      <c r="N43" s="281"/>
      <c r="O43" s="281"/>
      <c r="P43" s="281"/>
    </row>
    <row r="44" spans="1:16" ht="21" x14ac:dyDescent="0.25">
      <c r="A44" s="277" t="s">
        <v>256</v>
      </c>
      <c r="B44" s="277"/>
      <c r="C44" s="277"/>
      <c r="D44" s="277"/>
      <c r="E44" s="277"/>
      <c r="F44" s="277"/>
      <c r="G44" s="277"/>
      <c r="H44" s="277"/>
      <c r="I44" s="277"/>
      <c r="J44" s="277"/>
      <c r="K44" s="277"/>
      <c r="L44" s="277"/>
      <c r="M44" s="277"/>
      <c r="N44" s="277"/>
      <c r="O44" s="277"/>
      <c r="P44" s="277"/>
    </row>
    <row r="45" spans="1:16" ht="21" x14ac:dyDescent="0.25">
      <c r="A45" s="277" t="s">
        <v>349</v>
      </c>
      <c r="B45" s="277"/>
      <c r="C45" s="277"/>
      <c r="D45" s="277"/>
      <c r="E45" s="277"/>
      <c r="F45" s="277"/>
      <c r="G45" s="277"/>
      <c r="H45" s="277"/>
      <c r="I45" s="277"/>
      <c r="J45" s="277"/>
      <c r="K45" s="277"/>
      <c r="L45" s="277"/>
      <c r="M45" s="277"/>
      <c r="N45" s="277"/>
      <c r="O45" s="277"/>
      <c r="P45" s="277"/>
    </row>
    <row r="46" spans="1:16" ht="21" x14ac:dyDescent="0.25">
      <c r="A46" s="277" t="s">
        <v>257</v>
      </c>
      <c r="B46" s="277"/>
      <c r="C46" s="277"/>
      <c r="D46" s="277"/>
      <c r="E46" s="277"/>
      <c r="F46" s="277"/>
      <c r="G46" s="277"/>
      <c r="H46" s="277"/>
      <c r="I46" s="277"/>
      <c r="J46" s="277"/>
      <c r="K46" s="277"/>
      <c r="L46" s="277"/>
      <c r="M46" s="277"/>
      <c r="N46" s="277"/>
      <c r="O46" s="277"/>
      <c r="P46" s="277"/>
    </row>
    <row r="47" spans="1:16" ht="21" x14ac:dyDescent="0.25">
      <c r="A47" s="277" t="s">
        <v>258</v>
      </c>
      <c r="B47" s="277"/>
      <c r="C47" s="277"/>
      <c r="D47" s="277"/>
      <c r="E47" s="277"/>
      <c r="F47" s="277"/>
      <c r="G47" s="277"/>
      <c r="H47" s="277"/>
      <c r="I47" s="277"/>
      <c r="J47" s="277"/>
      <c r="K47" s="277"/>
      <c r="L47" s="277"/>
      <c r="M47" s="277"/>
      <c r="N47" s="277"/>
      <c r="O47" s="277"/>
      <c r="P47" s="277"/>
    </row>
    <row r="48" spans="1:16" ht="21" x14ac:dyDescent="0.25">
      <c r="A48" s="277" t="s">
        <v>259</v>
      </c>
      <c r="B48" s="277"/>
      <c r="C48" s="277"/>
      <c r="D48" s="277"/>
      <c r="E48" s="277"/>
      <c r="F48" s="277"/>
      <c r="G48" s="277"/>
      <c r="H48" s="277"/>
      <c r="I48" s="277"/>
      <c r="J48" s="277"/>
      <c r="K48" s="277"/>
      <c r="L48" s="277"/>
      <c r="M48" s="277"/>
      <c r="N48" s="277"/>
      <c r="O48" s="277"/>
      <c r="P48" s="277"/>
    </row>
    <row r="49" spans="1:16" ht="21" x14ac:dyDescent="0.25">
      <c r="A49" s="279" t="s">
        <v>325</v>
      </c>
      <c r="B49" s="279"/>
      <c r="C49" s="279"/>
      <c r="D49" s="279"/>
      <c r="E49" s="279"/>
      <c r="F49" s="279"/>
      <c r="G49" s="279"/>
      <c r="H49" s="279"/>
      <c r="I49" s="279"/>
      <c r="J49" s="279"/>
      <c r="K49" s="279"/>
      <c r="L49" s="279"/>
      <c r="M49" s="279"/>
      <c r="N49" s="279"/>
      <c r="O49" s="279"/>
      <c r="P49" s="279"/>
    </row>
    <row r="50" spans="1:16" ht="21" x14ac:dyDescent="0.25">
      <c r="A50" s="279" t="s">
        <v>326</v>
      </c>
      <c r="B50" s="279"/>
      <c r="C50" s="279"/>
      <c r="D50" s="279"/>
      <c r="E50" s="279"/>
      <c r="F50" s="279"/>
      <c r="G50" s="279"/>
      <c r="H50" s="279"/>
      <c r="I50" s="279"/>
      <c r="J50" s="279"/>
      <c r="K50" s="279"/>
      <c r="L50" s="279"/>
      <c r="M50" s="279"/>
      <c r="N50" s="279"/>
      <c r="O50" s="279"/>
      <c r="P50" s="279"/>
    </row>
    <row r="51" spans="1:16" ht="21" x14ac:dyDescent="0.25">
      <c r="A51" s="279" t="s">
        <v>357</v>
      </c>
      <c r="B51" s="279"/>
      <c r="C51" s="279"/>
      <c r="D51" s="279"/>
      <c r="E51" s="279"/>
      <c r="F51" s="279"/>
      <c r="G51" s="279"/>
      <c r="H51" s="279"/>
      <c r="I51" s="279"/>
      <c r="J51" s="279"/>
      <c r="K51" s="279"/>
      <c r="L51" s="279"/>
      <c r="M51" s="279"/>
      <c r="N51" s="279"/>
      <c r="O51" s="279"/>
      <c r="P51" s="279"/>
    </row>
    <row r="52" spans="1:16" ht="21" x14ac:dyDescent="0.25">
      <c r="A52" s="273" t="s">
        <v>260</v>
      </c>
      <c r="B52" s="273"/>
      <c r="C52" s="273"/>
      <c r="D52" s="273"/>
      <c r="E52" s="273"/>
      <c r="F52" s="273"/>
      <c r="G52" s="273"/>
      <c r="H52" s="273"/>
      <c r="I52" s="273"/>
      <c r="J52" s="273"/>
      <c r="K52" s="273"/>
      <c r="L52" s="273"/>
      <c r="M52" s="273"/>
      <c r="N52" s="273"/>
      <c r="O52" s="273"/>
      <c r="P52" s="273"/>
    </row>
    <row r="53" spans="1:16" ht="21" x14ac:dyDescent="0.25">
      <c r="A53" s="273" t="s">
        <v>316</v>
      </c>
      <c r="B53" s="273"/>
      <c r="C53" s="273"/>
      <c r="D53" s="273"/>
      <c r="E53" s="273"/>
      <c r="F53" s="273"/>
      <c r="G53" s="273"/>
      <c r="H53" s="273"/>
      <c r="I53" s="273"/>
      <c r="J53" s="273"/>
      <c r="K53" s="273"/>
      <c r="L53" s="273"/>
      <c r="M53" s="273"/>
      <c r="N53" s="273"/>
      <c r="O53" s="273"/>
      <c r="P53" s="273"/>
    </row>
    <row r="54" spans="1:16" ht="21" x14ac:dyDescent="0.25">
      <c r="A54" s="308" t="s">
        <v>383</v>
      </c>
      <c r="B54" s="308"/>
      <c r="C54" s="308"/>
      <c r="D54" s="308"/>
      <c r="E54" s="308"/>
      <c r="F54" s="308"/>
      <c r="G54" s="308"/>
      <c r="H54" s="308"/>
      <c r="I54" s="308"/>
      <c r="J54" s="308"/>
      <c r="K54" s="308"/>
      <c r="L54" s="308"/>
      <c r="M54" s="308"/>
      <c r="N54" s="308"/>
      <c r="O54" s="308"/>
      <c r="P54" s="308"/>
    </row>
    <row r="55" spans="1:16" ht="21" x14ac:dyDescent="0.25">
      <c r="A55" s="308" t="s">
        <v>352</v>
      </c>
      <c r="B55" s="308"/>
      <c r="C55" s="308"/>
      <c r="D55" s="308"/>
      <c r="E55" s="308"/>
      <c r="F55" s="308"/>
      <c r="G55" s="308"/>
      <c r="H55" s="308"/>
      <c r="I55" s="308"/>
      <c r="J55" s="308"/>
      <c r="K55" s="308"/>
      <c r="L55" s="308"/>
      <c r="M55" s="308"/>
      <c r="N55" s="308"/>
      <c r="O55" s="308"/>
      <c r="P55" s="308"/>
    </row>
    <row r="56" spans="1:16" ht="21" x14ac:dyDescent="0.25">
      <c r="A56" s="273" t="s">
        <v>459</v>
      </c>
      <c r="B56" s="273"/>
      <c r="C56" s="273"/>
      <c r="D56" s="273"/>
      <c r="E56" s="273"/>
      <c r="F56" s="273"/>
      <c r="G56" s="273"/>
      <c r="H56" s="273"/>
      <c r="I56" s="273"/>
      <c r="J56" s="273"/>
      <c r="K56" s="273"/>
      <c r="L56" s="273"/>
      <c r="M56" s="273"/>
      <c r="N56" s="273"/>
      <c r="O56" s="273"/>
      <c r="P56" s="273"/>
    </row>
    <row r="57" spans="1:16" ht="21" x14ac:dyDescent="0.25">
      <c r="A57" s="273" t="s">
        <v>460</v>
      </c>
      <c r="B57" s="273"/>
      <c r="C57" s="273"/>
      <c r="D57" s="273"/>
      <c r="E57" s="273"/>
      <c r="F57" s="273"/>
      <c r="G57" s="273"/>
      <c r="H57" s="273"/>
      <c r="I57" s="273"/>
      <c r="J57" s="273"/>
      <c r="K57" s="273"/>
      <c r="L57" s="273"/>
      <c r="M57" s="273"/>
      <c r="N57" s="273"/>
      <c r="O57" s="273"/>
      <c r="P57" s="273"/>
    </row>
    <row r="58" spans="1:16" ht="21" x14ac:dyDescent="0.25">
      <c r="A58" s="273" t="s">
        <v>461</v>
      </c>
      <c r="B58" s="273"/>
      <c r="C58" s="273"/>
      <c r="D58" s="273"/>
      <c r="E58" s="273"/>
      <c r="F58" s="273"/>
      <c r="G58" s="273"/>
      <c r="H58" s="273"/>
      <c r="I58" s="273"/>
      <c r="J58" s="273"/>
      <c r="K58" s="273"/>
      <c r="L58" s="273"/>
      <c r="M58" s="273"/>
      <c r="N58" s="273"/>
      <c r="O58" s="273"/>
      <c r="P58" s="273"/>
    </row>
    <row r="59" spans="1:16" ht="21" x14ac:dyDescent="0.25">
      <c r="A59" s="278" t="s">
        <v>385</v>
      </c>
      <c r="B59" s="278"/>
      <c r="C59" s="278"/>
      <c r="D59" s="278"/>
      <c r="E59" s="278"/>
      <c r="F59" s="278"/>
      <c r="G59" s="278"/>
      <c r="H59" s="278"/>
      <c r="I59" s="278"/>
      <c r="J59" s="278"/>
      <c r="K59" s="278"/>
      <c r="L59" s="278"/>
      <c r="M59" s="278"/>
      <c r="N59" s="278"/>
      <c r="O59" s="278"/>
      <c r="P59" s="278"/>
    </row>
    <row r="60" spans="1:16" ht="21" x14ac:dyDescent="0.25">
      <c r="A60" s="278" t="s">
        <v>261</v>
      </c>
      <c r="B60" s="278"/>
      <c r="C60" s="278"/>
      <c r="D60" s="278"/>
      <c r="E60" s="278"/>
      <c r="F60" s="278"/>
      <c r="G60" s="278"/>
      <c r="H60" s="278"/>
      <c r="I60" s="278"/>
      <c r="J60" s="278"/>
      <c r="K60" s="278"/>
      <c r="L60" s="278"/>
      <c r="M60" s="278"/>
      <c r="N60" s="278"/>
      <c r="O60" s="278"/>
      <c r="P60" s="278"/>
    </row>
    <row r="61" spans="1:16" ht="21" x14ac:dyDescent="0.25">
      <c r="A61" s="272" t="s">
        <v>40</v>
      </c>
      <c r="B61" s="272"/>
      <c r="C61" s="272"/>
      <c r="D61" s="272"/>
      <c r="E61" s="272"/>
      <c r="F61" s="272"/>
      <c r="G61" s="272"/>
      <c r="H61" s="272"/>
      <c r="I61" s="272"/>
      <c r="J61" s="282" t="str">
        <f>M7</f>
        <v>=D7</v>
      </c>
      <c r="K61" s="283"/>
      <c r="L61" s="283"/>
      <c r="M61" s="272" t="s">
        <v>455</v>
      </c>
      <c r="N61" s="272"/>
      <c r="O61" s="272"/>
      <c r="P61" s="272"/>
    </row>
    <row r="62" spans="1:16" ht="21" x14ac:dyDescent="0.25">
      <c r="A62" s="277" t="s">
        <v>456</v>
      </c>
      <c r="B62" s="277"/>
      <c r="C62" s="277"/>
      <c r="D62" s="277"/>
      <c r="E62" s="277"/>
      <c r="F62" s="277"/>
      <c r="G62" s="277"/>
      <c r="H62" s="277"/>
      <c r="I62" s="277"/>
      <c r="J62" s="277"/>
      <c r="K62" s="277"/>
      <c r="L62" s="277"/>
      <c r="M62" s="277"/>
      <c r="N62" s="277"/>
      <c r="O62" s="277"/>
      <c r="P62" s="277"/>
    </row>
    <row r="63" spans="1:16" ht="21" x14ac:dyDescent="0.25">
      <c r="A63" s="272" t="s">
        <v>457</v>
      </c>
      <c r="B63" s="272"/>
      <c r="C63" s="272"/>
      <c r="D63" s="272"/>
      <c r="E63" s="272"/>
      <c r="F63" s="272"/>
      <c r="G63" s="272"/>
      <c r="H63" s="272"/>
      <c r="I63" s="272"/>
      <c r="J63" s="272"/>
      <c r="K63" s="272"/>
      <c r="L63" s="272"/>
      <c r="M63" s="272"/>
      <c r="N63" s="272"/>
      <c r="O63" s="272"/>
      <c r="P63" s="272"/>
    </row>
    <row r="64" spans="1:16" ht="21" x14ac:dyDescent="0.25">
      <c r="A64" s="277" t="s">
        <v>458</v>
      </c>
      <c r="B64" s="277"/>
      <c r="C64" s="277"/>
      <c r="D64" s="277"/>
      <c r="E64" s="277"/>
      <c r="F64" s="277"/>
      <c r="G64" s="277"/>
      <c r="H64" s="277"/>
      <c r="I64" s="277"/>
      <c r="J64" s="277"/>
      <c r="K64" s="277"/>
      <c r="L64" s="277"/>
      <c r="M64" s="277"/>
      <c r="N64" s="277"/>
      <c r="O64" s="277"/>
      <c r="P64" s="277"/>
    </row>
    <row r="65" spans="1:16" ht="21" x14ac:dyDescent="0.25">
      <c r="A65" s="90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</row>
    <row r="66" spans="1:16" ht="21" x14ac:dyDescent="0.25">
      <c r="A66" s="91"/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</row>
    <row r="67" spans="1:16" ht="21" x14ac:dyDescent="0.35">
      <c r="A67" s="292" t="str">
        <f>TRIM(SUBSTITUTE(LEFT(A14&amp;" ",SEARCH(" ",A14&amp;" ")+1)&amp;"."&amp; MID(A14&amp;" ",SEARCH(" ",A14&amp;" ",SEARCH(" ",A14&amp;" ")+1),2)&amp;"."," .",))</f>
        <v>Зинченко М. А.</v>
      </c>
      <c r="B67" s="292"/>
      <c r="C67" s="292"/>
      <c r="D67" s="292" t="s">
        <v>83</v>
      </c>
      <c r="E67" s="292"/>
      <c r="F67" s="292"/>
      <c r="G67" s="292"/>
      <c r="H67" s="3"/>
      <c r="I67" s="3"/>
      <c r="J67" s="3"/>
      <c r="K67" s="292" t="e">
        <f>TRIM(SUBSTITUTE(LEFT(A18&amp;" ",SEARCH(" ",A18&amp;" ")+1)&amp;"."&amp; MID(A18&amp;" ",SEARCH(" ",A18&amp;" ",SEARCH(" ",A18&amp;" ")+1),2)&amp;"."," .",))</f>
        <v>#VALUE!</v>
      </c>
      <c r="L67" s="292"/>
      <c r="M67" s="292"/>
      <c r="N67" s="292" t="s">
        <v>38</v>
      </c>
      <c r="O67" s="292"/>
      <c r="P67" s="292"/>
    </row>
    <row r="68" spans="1:16" ht="21" x14ac:dyDescent="0.35">
      <c r="A68" s="92"/>
      <c r="B68" s="92"/>
      <c r="C68" s="92"/>
      <c r="D68" s="316" t="s">
        <v>63</v>
      </c>
      <c r="E68" s="316"/>
      <c r="F68" s="316"/>
      <c r="G68" s="316"/>
      <c r="H68" s="38"/>
      <c r="I68" s="38"/>
      <c r="J68" s="38"/>
      <c r="K68" s="38"/>
      <c r="L68" s="38"/>
      <c r="M68" s="38"/>
      <c r="N68" s="316" t="s">
        <v>63</v>
      </c>
      <c r="O68" s="316"/>
      <c r="P68" s="316"/>
    </row>
    <row r="69" spans="1:16" ht="21" x14ac:dyDescent="0.35">
      <c r="A69" s="92"/>
      <c r="B69" s="92"/>
      <c r="C69" s="92"/>
      <c r="D69" s="101"/>
      <c r="E69" s="101"/>
      <c r="F69" s="101"/>
      <c r="G69" s="101"/>
      <c r="H69" s="38"/>
      <c r="I69" s="38"/>
      <c r="J69" s="38"/>
      <c r="K69" s="38"/>
      <c r="L69" s="38"/>
      <c r="M69" s="38"/>
      <c r="N69" s="101"/>
      <c r="O69" s="101"/>
      <c r="P69" s="101"/>
    </row>
    <row r="70" spans="1:16" ht="21" x14ac:dyDescent="0.35">
      <c r="A70" s="13"/>
      <c r="B70" s="13"/>
      <c r="C70" s="13"/>
      <c r="D70" s="13"/>
      <c r="E70" s="13"/>
      <c r="F70" s="13"/>
      <c r="G70" s="13"/>
      <c r="H70" s="13"/>
      <c r="I70" s="13"/>
      <c r="J70" s="292" t="s">
        <v>262</v>
      </c>
      <c r="K70" s="292"/>
      <c r="L70" s="292"/>
      <c r="M70" s="292"/>
      <c r="N70" s="292"/>
      <c r="O70" s="292"/>
      <c r="P70" s="292"/>
    </row>
    <row r="71" spans="1:16" ht="21" x14ac:dyDescent="0.3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317" t="s">
        <v>263</v>
      </c>
      <c r="L71" s="317"/>
      <c r="M71" s="317"/>
      <c r="N71" s="317"/>
      <c r="O71" s="317"/>
      <c r="P71" s="317"/>
    </row>
    <row r="72" spans="1:16" ht="21" x14ac:dyDescent="0.25">
      <c r="A72" s="272" t="s">
        <v>19</v>
      </c>
      <c r="B72" s="272"/>
      <c r="C72" s="272"/>
      <c r="D72" s="272"/>
      <c r="E72" s="272"/>
      <c r="F72" s="272"/>
      <c r="G72" s="272"/>
      <c r="H72" s="272"/>
      <c r="I72" s="272"/>
      <c r="J72" s="272"/>
      <c r="K72" s="272"/>
      <c r="L72" s="272"/>
      <c r="M72" s="272"/>
      <c r="N72" s="272"/>
      <c r="O72" s="272"/>
      <c r="P72" s="272"/>
    </row>
    <row r="73" spans="1:16" ht="21" x14ac:dyDescent="0.25">
      <c r="A73" s="272" t="s">
        <v>20</v>
      </c>
      <c r="B73" s="272"/>
      <c r="C73" s="272"/>
      <c r="D73" s="272"/>
      <c r="E73" s="272"/>
      <c r="F73" s="272"/>
      <c r="G73" s="272"/>
      <c r="H73" s="272"/>
      <c r="I73" s="272"/>
      <c r="J73" s="272"/>
      <c r="K73" s="272"/>
      <c r="L73" s="272"/>
      <c r="M73" s="272"/>
      <c r="N73" s="272"/>
      <c r="O73" s="272"/>
      <c r="P73" s="272"/>
    </row>
    <row r="74" spans="1:16" ht="21" x14ac:dyDescent="0.25">
      <c r="A74" s="272" t="s">
        <v>21</v>
      </c>
      <c r="B74" s="272"/>
      <c r="C74" s="272"/>
      <c r="D74" s="272"/>
      <c r="E74" s="272"/>
      <c r="F74" s="272"/>
      <c r="G74" s="272"/>
      <c r="H74" s="272"/>
      <c r="I74" s="272"/>
      <c r="J74" s="272"/>
      <c r="K74" s="272"/>
      <c r="L74" s="272"/>
      <c r="M74" s="272"/>
      <c r="N74" s="272"/>
      <c r="O74" s="272"/>
      <c r="P74" s="272"/>
    </row>
    <row r="75" spans="1:16" ht="21" x14ac:dyDescent="0.25">
      <c r="A75" s="272" t="s">
        <v>424</v>
      </c>
      <c r="B75" s="272"/>
      <c r="C75" s="272"/>
      <c r="D75" s="272"/>
      <c r="E75" s="272"/>
      <c r="F75" s="272"/>
      <c r="G75" s="272"/>
      <c r="H75" s="272"/>
      <c r="I75" s="272"/>
      <c r="J75" s="272"/>
      <c r="K75" s="272"/>
      <c r="L75" s="272"/>
      <c r="M75" s="272"/>
      <c r="N75" s="272"/>
      <c r="O75" s="272"/>
      <c r="P75" s="272"/>
    </row>
    <row r="76" spans="1:16" ht="21" x14ac:dyDescent="0.25">
      <c r="A76" s="309" t="s">
        <v>22</v>
      </c>
      <c r="B76" s="309"/>
      <c r="C76" s="309"/>
      <c r="D76" s="309"/>
      <c r="E76" s="309"/>
      <c r="F76" s="309"/>
      <c r="G76" s="309"/>
      <c r="H76" s="309"/>
      <c r="I76" s="309"/>
      <c r="J76" s="309"/>
      <c r="K76" s="309"/>
      <c r="L76" s="309"/>
      <c r="M76" s="309"/>
      <c r="N76" s="309"/>
      <c r="O76" s="309"/>
      <c r="P76" s="309"/>
    </row>
    <row r="77" spans="1:16" ht="21" x14ac:dyDescent="0.25">
      <c r="A77" s="272" t="s">
        <v>264</v>
      </c>
      <c r="B77" s="272"/>
      <c r="C77" s="272"/>
      <c r="D77" s="272"/>
      <c r="E77" s="272"/>
      <c r="F77" s="272"/>
      <c r="G77" s="272"/>
      <c r="H77" s="272"/>
      <c r="I77" s="272"/>
      <c r="J77" s="272"/>
      <c r="K77" s="272"/>
      <c r="L77" s="272"/>
      <c r="M77" s="272"/>
      <c r="N77" s="272"/>
      <c r="O77" s="272"/>
      <c r="P77" s="272"/>
    </row>
    <row r="78" spans="1:16" ht="21" x14ac:dyDescent="0.25">
      <c r="A78" s="277" t="s">
        <v>351</v>
      </c>
      <c r="B78" s="277"/>
      <c r="C78" s="277"/>
      <c r="D78" s="277"/>
      <c r="E78" s="277"/>
      <c r="F78" s="277"/>
      <c r="G78" s="277"/>
      <c r="H78" s="277"/>
      <c r="I78" s="277"/>
      <c r="J78" s="277"/>
      <c r="K78" s="277"/>
      <c r="L78" s="277"/>
      <c r="M78" s="277"/>
      <c r="N78" s="277"/>
      <c r="O78" s="277"/>
      <c r="P78" s="277"/>
    </row>
    <row r="79" spans="1:16" ht="21" x14ac:dyDescent="0.35">
      <c r="A79" s="296" t="s">
        <v>1</v>
      </c>
      <c r="B79" s="296"/>
      <c r="C79" s="296"/>
      <c r="D79" s="296"/>
      <c r="E79" s="296"/>
      <c r="F79" s="296"/>
      <c r="G79" s="296"/>
      <c r="H79" s="296"/>
      <c r="I79" s="296"/>
      <c r="J79" s="296"/>
      <c r="K79" s="296"/>
      <c r="L79" s="296"/>
      <c r="M79" s="296"/>
      <c r="N79" s="296"/>
      <c r="O79" s="296"/>
      <c r="P79" s="296"/>
    </row>
    <row r="80" spans="1:16" ht="21" x14ac:dyDescent="0.35">
      <c r="A80" s="310" t="s">
        <v>645</v>
      </c>
      <c r="B80" s="310"/>
      <c r="C80" s="310"/>
      <c r="D80" s="310"/>
      <c r="E80" s="310"/>
      <c r="F80" s="310"/>
      <c r="G80" s="310"/>
      <c r="H80" s="310"/>
      <c r="I80" s="310"/>
      <c r="J80" s="310"/>
      <c r="K80" s="310"/>
      <c r="L80" s="310"/>
      <c r="M80" s="310"/>
      <c r="N80" s="310"/>
      <c r="O80" s="310"/>
      <c r="P80" s="310"/>
    </row>
    <row r="81" spans="1:16" ht="21" x14ac:dyDescent="0.35">
      <c r="A81" s="307" t="s">
        <v>454</v>
      </c>
      <c r="B81" s="307"/>
      <c r="C81" s="307"/>
      <c r="D81" s="307"/>
      <c r="E81" s="307"/>
      <c r="F81" s="307"/>
      <c r="G81" s="307"/>
      <c r="H81" s="307"/>
      <c r="I81" s="307"/>
      <c r="J81" s="307"/>
      <c r="K81" s="307"/>
      <c r="L81" s="307"/>
      <c r="M81" s="307"/>
      <c r="N81" s="307"/>
      <c r="O81" s="307"/>
      <c r="P81" s="307"/>
    </row>
    <row r="82" spans="1:16" ht="21" x14ac:dyDescent="0.35">
      <c r="A82" s="310" t="s">
        <v>647</v>
      </c>
      <c r="B82" s="310"/>
      <c r="C82" s="310"/>
      <c r="D82" s="310"/>
      <c r="E82" s="310"/>
      <c r="F82" s="310"/>
      <c r="G82" s="310"/>
      <c r="H82" s="310"/>
      <c r="I82" s="310"/>
      <c r="J82" s="310"/>
      <c r="K82" s="310"/>
      <c r="L82" s="310"/>
      <c r="M82" s="310"/>
      <c r="N82" s="310"/>
      <c r="O82" s="310"/>
      <c r="P82" s="310"/>
    </row>
    <row r="83" spans="1:16" ht="21" x14ac:dyDescent="0.35">
      <c r="A83" s="307" t="s">
        <v>646</v>
      </c>
      <c r="B83" s="307"/>
      <c r="C83" s="307"/>
      <c r="D83" s="307"/>
      <c r="E83" s="307"/>
      <c r="F83" s="307"/>
      <c r="G83" s="307"/>
      <c r="H83" s="307"/>
      <c r="I83" s="307"/>
      <c r="J83" s="307"/>
      <c r="K83" s="307"/>
      <c r="L83" s="307"/>
      <c r="M83" s="307"/>
      <c r="N83" s="307"/>
      <c r="O83" s="307"/>
      <c r="P83" s="307"/>
    </row>
    <row r="84" spans="1:16" ht="21" customHeight="1" x14ac:dyDescent="0.35">
      <c r="A84" s="310" t="s">
        <v>450</v>
      </c>
      <c r="B84" s="310"/>
      <c r="C84" s="310"/>
      <c r="D84" s="310"/>
      <c r="E84" s="310"/>
      <c r="F84" s="310"/>
      <c r="G84" s="310"/>
      <c r="H84" s="310"/>
      <c r="I84" s="310"/>
      <c r="J84" s="310"/>
      <c r="K84" s="310"/>
      <c r="L84" s="310"/>
      <c r="M84" s="310"/>
      <c r="N84" s="310"/>
      <c r="O84" s="310"/>
      <c r="P84" s="310"/>
    </row>
    <row r="85" spans="1:16" ht="20.25" customHeight="1" x14ac:dyDescent="0.35">
      <c r="A85" s="310" t="s">
        <v>449</v>
      </c>
      <c r="B85" s="310"/>
      <c r="C85" s="310"/>
      <c r="D85" s="310"/>
      <c r="E85" s="310"/>
      <c r="F85" s="310"/>
      <c r="G85" s="310"/>
      <c r="H85" s="310"/>
      <c r="I85" s="310"/>
      <c r="J85" s="310"/>
      <c r="K85" s="310"/>
      <c r="L85" s="310"/>
      <c r="M85" s="310"/>
      <c r="N85" s="310"/>
      <c r="O85" s="310"/>
      <c r="P85" s="310"/>
    </row>
    <row r="86" spans="1:16" ht="20.25" customHeight="1" x14ac:dyDescent="0.35">
      <c r="A86" s="310" t="s">
        <v>451</v>
      </c>
      <c r="B86" s="310"/>
      <c r="C86" s="310"/>
      <c r="D86" s="310"/>
      <c r="E86" s="310"/>
      <c r="F86" s="310"/>
      <c r="G86" s="310"/>
      <c r="H86" s="310"/>
      <c r="I86" s="310"/>
      <c r="J86" s="310"/>
      <c r="K86" s="310"/>
      <c r="L86" s="310"/>
      <c r="M86" s="310"/>
      <c r="N86" s="310"/>
      <c r="O86" s="310"/>
      <c r="P86" s="310"/>
    </row>
    <row r="87" spans="1:16" ht="20.25" customHeight="1" x14ac:dyDescent="0.35">
      <c r="A87" s="310" t="s">
        <v>452</v>
      </c>
      <c r="B87" s="310"/>
      <c r="C87" s="310"/>
      <c r="D87" s="310"/>
      <c r="E87" s="310"/>
      <c r="F87" s="310"/>
      <c r="G87" s="310"/>
      <c r="H87" s="310"/>
      <c r="I87" s="310"/>
      <c r="J87" s="310"/>
      <c r="K87" s="310"/>
      <c r="L87" s="310"/>
      <c r="M87" s="310"/>
      <c r="N87" s="310"/>
      <c r="O87" s="310"/>
      <c r="P87" s="310"/>
    </row>
    <row r="88" spans="1:16" ht="20.25" customHeight="1" x14ac:dyDescent="0.35">
      <c r="A88" s="310" t="s">
        <v>453</v>
      </c>
      <c r="B88" s="310"/>
      <c r="C88" s="310"/>
      <c r="D88" s="310"/>
      <c r="E88" s="310"/>
      <c r="F88" s="310"/>
      <c r="G88" s="310"/>
      <c r="H88" s="310"/>
      <c r="I88" s="310"/>
      <c r="J88" s="310"/>
      <c r="K88" s="310"/>
      <c r="L88" s="310"/>
      <c r="M88" s="310"/>
      <c r="N88" s="310"/>
      <c r="O88" s="310"/>
      <c r="P88" s="310"/>
    </row>
    <row r="89" spans="1:16" ht="20.25" customHeight="1" x14ac:dyDescent="0.35">
      <c r="A89" s="310" t="s">
        <v>346</v>
      </c>
      <c r="B89" s="310"/>
      <c r="C89" s="310"/>
      <c r="D89" s="310"/>
      <c r="E89" s="310"/>
      <c r="F89" s="310"/>
      <c r="G89" s="310"/>
      <c r="H89" s="310"/>
      <c r="I89" s="310"/>
      <c r="J89" s="310"/>
      <c r="K89" s="310"/>
      <c r="L89" s="310"/>
      <c r="M89" s="310"/>
      <c r="N89" s="310"/>
      <c r="O89" s="310"/>
      <c r="P89" s="310"/>
    </row>
    <row r="90" spans="1:16" ht="20.25" customHeight="1" x14ac:dyDescent="0.35">
      <c r="A90" s="306" t="s">
        <v>447</v>
      </c>
      <c r="B90" s="306"/>
      <c r="C90" s="306"/>
      <c r="D90" s="306"/>
      <c r="E90" s="306"/>
      <c r="F90" s="306"/>
      <c r="G90" s="306"/>
      <c r="H90" s="306"/>
      <c r="I90" s="306"/>
      <c r="J90" s="306"/>
      <c r="K90" s="306"/>
      <c r="L90" s="306"/>
      <c r="M90" s="306"/>
      <c r="N90" s="306"/>
      <c r="O90" s="306"/>
      <c r="P90" s="306"/>
    </row>
    <row r="91" spans="1:16" ht="20.25" customHeight="1" x14ac:dyDescent="0.35">
      <c r="A91" s="306" t="s">
        <v>448</v>
      </c>
      <c r="B91" s="306"/>
      <c r="C91" s="306"/>
      <c r="D91" s="306"/>
      <c r="E91" s="306"/>
      <c r="F91" s="306"/>
      <c r="G91" s="306"/>
      <c r="H91" s="306"/>
      <c r="I91" s="306"/>
      <c r="J91" s="306"/>
      <c r="K91" s="306"/>
      <c r="L91" s="306"/>
      <c r="M91" s="306"/>
      <c r="N91" s="306"/>
      <c r="O91" s="306"/>
      <c r="P91" s="306"/>
    </row>
    <row r="92" spans="1:16" ht="20.25" customHeight="1" x14ac:dyDescent="0.35">
      <c r="A92" s="306" t="s">
        <v>348</v>
      </c>
      <c r="B92" s="306"/>
      <c r="C92" s="306"/>
      <c r="D92" s="306"/>
      <c r="E92" s="306"/>
      <c r="F92" s="306"/>
      <c r="G92" s="306"/>
      <c r="H92" s="306"/>
      <c r="I92" s="306"/>
      <c r="J92" s="306"/>
      <c r="K92" s="306"/>
      <c r="L92" s="306"/>
      <c r="M92" s="306"/>
      <c r="N92" s="306"/>
      <c r="O92" s="306"/>
      <c r="P92" s="306"/>
    </row>
    <row r="93" spans="1:16" ht="20.25" customHeight="1" x14ac:dyDescent="0.35">
      <c r="A93" s="306" t="s">
        <v>347</v>
      </c>
      <c r="B93" s="306"/>
      <c r="C93" s="306"/>
      <c r="D93" s="306"/>
      <c r="E93" s="306"/>
      <c r="F93" s="306"/>
      <c r="G93" s="306"/>
      <c r="H93" s="306"/>
      <c r="I93" s="306"/>
      <c r="J93" s="306"/>
      <c r="K93" s="306"/>
      <c r="L93" s="306"/>
      <c r="M93" s="306"/>
      <c r="N93" s="306"/>
      <c r="O93" s="306"/>
      <c r="P93" s="306"/>
    </row>
    <row r="94" spans="1:16" ht="20.25" customHeight="1" x14ac:dyDescent="0.35">
      <c r="A94" s="306" t="s">
        <v>350</v>
      </c>
      <c r="B94" s="306"/>
      <c r="C94" s="306"/>
      <c r="D94" s="306"/>
      <c r="E94" s="306"/>
      <c r="F94" s="306"/>
      <c r="G94" s="306"/>
      <c r="H94" s="306"/>
      <c r="I94" s="306"/>
      <c r="J94" s="306"/>
      <c r="K94" s="306"/>
      <c r="L94" s="306"/>
      <c r="M94" s="306"/>
      <c r="N94" s="306"/>
      <c r="O94" s="306"/>
      <c r="P94" s="306"/>
    </row>
    <row r="95" spans="1:16" ht="20.25" customHeight="1" x14ac:dyDescent="0.35">
      <c r="A95" s="296" t="s">
        <v>2</v>
      </c>
      <c r="B95" s="296"/>
      <c r="C95" s="296"/>
      <c r="D95" s="296"/>
      <c r="E95" s="296"/>
      <c r="F95" s="296"/>
      <c r="G95" s="296"/>
      <c r="H95" s="296"/>
      <c r="I95" s="296"/>
      <c r="J95" s="296"/>
      <c r="K95" s="296"/>
      <c r="L95" s="296"/>
      <c r="M95" s="296"/>
      <c r="N95" s="296"/>
      <c r="O95" s="296"/>
      <c r="P95" s="296"/>
    </row>
    <row r="96" spans="1:16" ht="20.25" customHeight="1" x14ac:dyDescent="0.35">
      <c r="A96" s="307" t="s">
        <v>426</v>
      </c>
      <c r="B96" s="307"/>
      <c r="C96" s="307"/>
      <c r="D96" s="307"/>
      <c r="E96" s="307"/>
      <c r="F96" s="307"/>
      <c r="G96" s="307"/>
      <c r="H96" s="307"/>
      <c r="I96" s="307"/>
      <c r="J96" s="307"/>
      <c r="K96" s="307"/>
      <c r="L96" s="307"/>
      <c r="M96" s="307"/>
      <c r="N96" s="307"/>
      <c r="O96" s="307"/>
      <c r="P96" s="307"/>
    </row>
    <row r="97" spans="1:16" ht="21" customHeight="1" x14ac:dyDescent="0.35">
      <c r="A97" s="307" t="s">
        <v>445</v>
      </c>
      <c r="B97" s="307"/>
      <c r="C97" s="307"/>
      <c r="D97" s="307"/>
      <c r="E97" s="307"/>
      <c r="F97" s="307"/>
      <c r="G97" s="307"/>
      <c r="H97" s="307"/>
      <c r="I97" s="307"/>
      <c r="J97" s="307"/>
      <c r="K97" s="307"/>
      <c r="L97" s="307"/>
      <c r="M97" s="307"/>
      <c r="N97" s="307"/>
      <c r="O97" s="307"/>
      <c r="P97" s="307"/>
    </row>
    <row r="98" spans="1:16" ht="21" x14ac:dyDescent="0.35">
      <c r="A98" s="307" t="s">
        <v>446</v>
      </c>
      <c r="B98" s="307"/>
      <c r="C98" s="307"/>
      <c r="D98" s="307"/>
      <c r="E98" s="307"/>
      <c r="F98" s="307"/>
      <c r="G98" s="307"/>
      <c r="H98" s="307"/>
      <c r="I98" s="307"/>
      <c r="J98" s="307"/>
      <c r="K98" s="307"/>
      <c r="L98" s="307"/>
      <c r="M98" s="307"/>
      <c r="N98" s="307"/>
      <c r="O98" s="307"/>
      <c r="P98" s="307"/>
    </row>
    <row r="99" spans="1:16" ht="21" x14ac:dyDescent="0.35">
      <c r="A99" s="307" t="s">
        <v>443</v>
      </c>
      <c r="B99" s="307"/>
      <c r="C99" s="307"/>
      <c r="D99" s="307"/>
      <c r="E99" s="307"/>
      <c r="F99" s="307"/>
      <c r="G99" s="307"/>
      <c r="H99" s="307"/>
      <c r="I99" s="307"/>
      <c r="J99" s="307"/>
      <c r="K99" s="307"/>
      <c r="L99" s="307"/>
      <c r="M99" s="307"/>
      <c r="N99" s="307"/>
      <c r="O99" s="307"/>
      <c r="P99" s="307"/>
    </row>
    <row r="100" spans="1:16" ht="21" x14ac:dyDescent="0.35">
      <c r="A100" s="307" t="s">
        <v>444</v>
      </c>
      <c r="B100" s="307"/>
      <c r="C100" s="307"/>
      <c r="D100" s="307"/>
      <c r="E100" s="307"/>
      <c r="F100" s="307"/>
      <c r="G100" s="307"/>
      <c r="H100" s="307"/>
      <c r="I100" s="307"/>
      <c r="J100" s="307"/>
      <c r="K100" s="307"/>
      <c r="L100" s="307"/>
      <c r="M100" s="307"/>
      <c r="N100" s="307"/>
      <c r="O100" s="307"/>
      <c r="P100" s="307"/>
    </row>
    <row r="101" spans="1:16" ht="21" x14ac:dyDescent="0.35">
      <c r="A101" s="296" t="s">
        <v>3</v>
      </c>
      <c r="B101" s="296"/>
      <c r="C101" s="296"/>
      <c r="D101" s="296"/>
      <c r="E101" s="296"/>
      <c r="F101" s="296"/>
      <c r="G101" s="296"/>
      <c r="H101" s="296"/>
      <c r="I101" s="296"/>
      <c r="J101" s="296"/>
      <c r="K101" s="296"/>
      <c r="L101" s="296"/>
      <c r="M101" s="296"/>
      <c r="N101" s="296"/>
      <c r="O101" s="296"/>
      <c r="P101" s="296"/>
    </row>
    <row r="102" spans="1:16" ht="21" x14ac:dyDescent="0.35">
      <c r="A102" s="311" t="s">
        <v>439</v>
      </c>
      <c r="B102" s="311"/>
      <c r="C102" s="311"/>
      <c r="D102" s="311"/>
      <c r="E102" s="311"/>
      <c r="F102" s="311"/>
      <c r="G102" s="311"/>
      <c r="H102" s="311"/>
      <c r="I102" s="311"/>
      <c r="J102" s="311"/>
      <c r="K102" s="311"/>
      <c r="L102" s="311"/>
      <c r="M102" s="311"/>
      <c r="N102" s="311"/>
      <c r="O102" s="311"/>
      <c r="P102" s="311"/>
    </row>
    <row r="103" spans="1:16" ht="21" x14ac:dyDescent="0.35">
      <c r="A103" s="311" t="s">
        <v>440</v>
      </c>
      <c r="B103" s="311"/>
      <c r="C103" s="311"/>
      <c r="D103" s="311"/>
      <c r="E103" s="311"/>
      <c r="F103" s="311"/>
      <c r="G103" s="311"/>
      <c r="H103" s="311"/>
      <c r="I103" s="311"/>
      <c r="J103" s="311"/>
      <c r="K103" s="311"/>
      <c r="L103" s="311"/>
      <c r="M103" s="311"/>
      <c r="N103" s="311"/>
      <c r="O103" s="311"/>
      <c r="P103" s="311"/>
    </row>
    <row r="104" spans="1:16" ht="21" x14ac:dyDescent="0.35">
      <c r="A104" s="311" t="s">
        <v>441</v>
      </c>
      <c r="B104" s="311"/>
      <c r="C104" s="311"/>
      <c r="D104" s="311"/>
      <c r="E104" s="311"/>
      <c r="F104" s="311"/>
      <c r="G104" s="311"/>
      <c r="H104" s="311"/>
      <c r="I104" s="311"/>
      <c r="J104" s="311"/>
      <c r="K104" s="311"/>
      <c r="L104" s="311"/>
      <c r="M104" s="311"/>
      <c r="N104" s="311"/>
      <c r="O104" s="311"/>
      <c r="P104" s="311"/>
    </row>
    <row r="105" spans="1:16" ht="21" x14ac:dyDescent="0.35">
      <c r="A105" s="311" t="s">
        <v>442</v>
      </c>
      <c r="B105" s="311"/>
      <c r="C105" s="311"/>
      <c r="D105" s="311"/>
      <c r="E105" s="311"/>
      <c r="F105" s="311"/>
      <c r="G105" s="311"/>
      <c r="H105" s="311"/>
      <c r="I105" s="311"/>
      <c r="J105" s="311"/>
      <c r="K105" s="311"/>
      <c r="L105" s="311"/>
      <c r="M105" s="311"/>
      <c r="N105" s="311"/>
      <c r="O105" s="311"/>
      <c r="P105" s="311"/>
    </row>
    <row r="106" spans="1:16" ht="21" x14ac:dyDescent="0.35">
      <c r="A106" s="311" t="s">
        <v>43</v>
      </c>
      <c r="B106" s="311"/>
      <c r="C106" s="311"/>
      <c r="D106" s="311"/>
      <c r="E106" s="311"/>
      <c r="F106" s="311"/>
      <c r="G106" s="311"/>
      <c r="H106" s="311"/>
      <c r="I106" s="311"/>
      <c r="J106" s="311"/>
      <c r="K106" s="311"/>
      <c r="L106" s="311"/>
      <c r="M106" s="311"/>
      <c r="N106" s="311"/>
      <c r="O106" s="311"/>
      <c r="P106" s="311"/>
    </row>
    <row r="107" spans="1:16" ht="21" x14ac:dyDescent="0.35">
      <c r="A107" s="311" t="s">
        <v>353</v>
      </c>
      <c r="B107" s="311"/>
      <c r="C107" s="311"/>
      <c r="D107" s="311"/>
      <c r="E107" s="311"/>
      <c r="F107" s="311"/>
      <c r="G107" s="311"/>
      <c r="H107" s="311"/>
      <c r="I107" s="311"/>
      <c r="J107" s="311"/>
      <c r="K107" s="311"/>
      <c r="L107" s="311"/>
      <c r="M107" s="311"/>
      <c r="N107" s="311"/>
      <c r="O107" s="311"/>
      <c r="P107" s="311"/>
    </row>
    <row r="108" spans="1:16" ht="21" x14ac:dyDescent="0.35">
      <c r="A108" s="311" t="s">
        <v>354</v>
      </c>
      <c r="B108" s="311"/>
      <c r="C108" s="311"/>
      <c r="D108" s="311"/>
      <c r="E108" s="311"/>
      <c r="F108" s="311"/>
      <c r="G108" s="311"/>
      <c r="H108" s="311"/>
      <c r="I108" s="311"/>
      <c r="J108" s="311"/>
      <c r="K108" s="311"/>
      <c r="L108" s="311"/>
      <c r="M108" s="311"/>
      <c r="N108" s="311"/>
      <c r="O108" s="311"/>
      <c r="P108" s="311"/>
    </row>
    <row r="109" spans="1:16" ht="21" x14ac:dyDescent="0.35">
      <c r="A109" s="311" t="s">
        <v>355</v>
      </c>
      <c r="B109" s="311"/>
      <c r="C109" s="311"/>
      <c r="D109" s="311"/>
      <c r="E109" s="311"/>
      <c r="F109" s="311"/>
      <c r="G109" s="311"/>
      <c r="H109" s="311"/>
      <c r="I109" s="311"/>
      <c r="J109" s="311"/>
      <c r="K109" s="311"/>
      <c r="L109" s="311"/>
      <c r="M109" s="311"/>
      <c r="N109" s="311"/>
      <c r="O109" s="311"/>
      <c r="P109" s="311"/>
    </row>
    <row r="110" spans="1:16" ht="21" x14ac:dyDescent="0.35">
      <c r="A110" s="306" t="s">
        <v>430</v>
      </c>
      <c r="B110" s="306"/>
      <c r="C110" s="306"/>
      <c r="D110" s="306"/>
      <c r="E110" s="306"/>
      <c r="F110" s="306"/>
      <c r="G110" s="306"/>
      <c r="H110" s="306"/>
      <c r="I110" s="306"/>
      <c r="J110" s="306"/>
      <c r="K110" s="306"/>
      <c r="L110" s="306"/>
      <c r="M110" s="306"/>
      <c r="N110" s="306"/>
      <c r="O110" s="306"/>
      <c r="P110" s="306"/>
    </row>
    <row r="111" spans="1:16" ht="21" x14ac:dyDescent="0.35">
      <c r="A111" s="306" t="s">
        <v>431</v>
      </c>
      <c r="B111" s="306"/>
      <c r="C111" s="306"/>
      <c r="D111" s="306"/>
      <c r="E111" s="306"/>
      <c r="F111" s="306"/>
      <c r="G111" s="306"/>
      <c r="H111" s="306"/>
      <c r="I111" s="306"/>
      <c r="J111" s="306"/>
      <c r="K111" s="306"/>
      <c r="L111" s="306"/>
      <c r="M111" s="306"/>
      <c r="N111" s="306"/>
      <c r="O111" s="306"/>
      <c r="P111" s="306"/>
    </row>
    <row r="112" spans="1:16" ht="21" x14ac:dyDescent="0.35">
      <c r="A112" s="307" t="s">
        <v>428</v>
      </c>
      <c r="B112" s="307"/>
      <c r="C112" s="307"/>
      <c r="D112" s="307"/>
      <c r="E112" s="307"/>
      <c r="F112" s="307"/>
      <c r="G112" s="307"/>
      <c r="H112" s="307"/>
      <c r="I112" s="307"/>
      <c r="J112" s="307"/>
      <c r="K112" s="307"/>
      <c r="L112" s="307"/>
      <c r="M112" s="307"/>
      <c r="N112" s="307"/>
      <c r="O112" s="307"/>
      <c r="P112" s="307"/>
    </row>
    <row r="113" spans="1:20" ht="21" x14ac:dyDescent="0.35">
      <c r="A113" s="307" t="s">
        <v>429</v>
      </c>
      <c r="B113" s="307"/>
      <c r="C113" s="307"/>
      <c r="D113" s="307"/>
      <c r="E113" s="307"/>
      <c r="F113" s="307"/>
      <c r="G113" s="307"/>
      <c r="H113" s="307"/>
      <c r="I113" s="307"/>
      <c r="J113" s="307"/>
      <c r="K113" s="307"/>
      <c r="L113" s="307"/>
      <c r="M113" s="307"/>
      <c r="N113" s="307"/>
      <c r="O113" s="307"/>
      <c r="P113" s="307"/>
      <c r="T113" s="36"/>
    </row>
    <row r="114" spans="1:20" ht="21" x14ac:dyDescent="0.35">
      <c r="A114" s="307" t="s">
        <v>42</v>
      </c>
      <c r="B114" s="307"/>
      <c r="C114" s="307"/>
      <c r="D114" s="307"/>
      <c r="E114" s="307"/>
      <c r="F114" s="307"/>
      <c r="G114" s="307"/>
      <c r="H114" s="307"/>
      <c r="I114" s="307"/>
      <c r="J114" s="307"/>
      <c r="K114" s="307"/>
      <c r="L114" s="307"/>
      <c r="M114" s="307"/>
      <c r="N114" s="307"/>
      <c r="O114" s="307"/>
      <c r="P114" s="307"/>
    </row>
    <row r="115" spans="1:20" ht="21" x14ac:dyDescent="0.35">
      <c r="A115" s="310" t="s">
        <v>265</v>
      </c>
      <c r="B115" s="310"/>
      <c r="C115" s="310"/>
      <c r="D115" s="310"/>
      <c r="E115" s="310"/>
      <c r="F115" s="310"/>
      <c r="G115" s="310"/>
      <c r="H115" s="310"/>
      <c r="I115" s="310"/>
      <c r="J115" s="310"/>
      <c r="K115" s="310"/>
      <c r="L115" s="310"/>
      <c r="M115" s="310"/>
      <c r="N115" s="310"/>
      <c r="O115" s="310"/>
      <c r="P115" s="310"/>
    </row>
    <row r="116" spans="1:20" ht="21" x14ac:dyDescent="0.35">
      <c r="A116" s="310" t="s">
        <v>266</v>
      </c>
      <c r="B116" s="310"/>
      <c r="C116" s="310"/>
      <c r="D116" s="310"/>
      <c r="E116" s="310"/>
      <c r="F116" s="310"/>
      <c r="G116" s="310"/>
      <c r="H116" s="310"/>
      <c r="I116" s="310"/>
      <c r="J116" s="310"/>
      <c r="K116" s="310"/>
      <c r="L116" s="310"/>
      <c r="M116" s="310"/>
      <c r="N116" s="310"/>
      <c r="O116" s="310"/>
      <c r="P116" s="310"/>
    </row>
    <row r="117" spans="1:20" ht="21" x14ac:dyDescent="0.35">
      <c r="A117" s="307" t="s">
        <v>267</v>
      </c>
      <c r="B117" s="307"/>
      <c r="C117" s="307"/>
      <c r="D117" s="307"/>
      <c r="E117" s="307"/>
      <c r="F117" s="307"/>
      <c r="G117" s="307"/>
      <c r="H117" s="307"/>
      <c r="I117" s="307"/>
      <c r="J117" s="307"/>
      <c r="K117" s="307"/>
      <c r="L117" s="307"/>
      <c r="M117" s="307"/>
      <c r="N117" s="307"/>
      <c r="O117" s="307"/>
      <c r="P117" s="307"/>
    </row>
    <row r="118" spans="1:20" ht="21" x14ac:dyDescent="0.35">
      <c r="A118" s="307" t="s">
        <v>268</v>
      </c>
      <c r="B118" s="307"/>
      <c r="C118" s="307"/>
      <c r="D118" s="307"/>
      <c r="E118" s="307"/>
      <c r="F118" s="307"/>
      <c r="G118" s="307"/>
      <c r="H118" s="307"/>
      <c r="I118" s="307"/>
      <c r="J118" s="307"/>
      <c r="K118" s="307"/>
      <c r="L118" s="307"/>
      <c r="M118" s="307"/>
      <c r="N118" s="307"/>
      <c r="O118" s="307"/>
      <c r="P118" s="307"/>
    </row>
    <row r="119" spans="1:20" ht="21" x14ac:dyDescent="0.35">
      <c r="A119" s="312" t="s">
        <v>427</v>
      </c>
      <c r="B119" s="312"/>
      <c r="C119" s="312"/>
      <c r="D119" s="312"/>
      <c r="E119" s="312"/>
      <c r="F119" s="312"/>
      <c r="G119" s="312"/>
      <c r="H119" s="312"/>
      <c r="I119" s="312"/>
      <c r="J119" s="312"/>
      <c r="K119" s="312"/>
      <c r="L119" s="312"/>
      <c r="M119" s="312"/>
      <c r="N119" s="312"/>
      <c r="O119" s="312"/>
      <c r="P119" s="312"/>
    </row>
    <row r="120" spans="1:20" ht="21" x14ac:dyDescent="0.35">
      <c r="A120" s="296" t="s">
        <v>4</v>
      </c>
      <c r="B120" s="296"/>
      <c r="C120" s="296"/>
      <c r="D120" s="296"/>
      <c r="E120" s="296"/>
      <c r="F120" s="296"/>
      <c r="G120" s="296"/>
      <c r="H120" s="296"/>
      <c r="I120" s="296"/>
      <c r="J120" s="296"/>
      <c r="K120" s="296"/>
      <c r="L120" s="296"/>
      <c r="M120" s="296"/>
      <c r="N120" s="296"/>
      <c r="O120" s="296"/>
      <c r="P120" s="296"/>
    </row>
    <row r="121" spans="1:20" ht="21" x14ac:dyDescent="0.35">
      <c r="A121" s="307" t="s">
        <v>432</v>
      </c>
      <c r="B121" s="307"/>
      <c r="C121" s="307"/>
      <c r="D121" s="307"/>
      <c r="E121" s="307"/>
      <c r="F121" s="307"/>
      <c r="G121" s="307"/>
      <c r="H121" s="307"/>
      <c r="I121" s="307"/>
      <c r="J121" s="307"/>
      <c r="K121" s="307"/>
      <c r="L121" s="307"/>
      <c r="M121" s="307"/>
      <c r="N121" s="307"/>
      <c r="O121" s="307"/>
      <c r="P121" s="307"/>
    </row>
    <row r="122" spans="1:20" ht="21" x14ac:dyDescent="0.35">
      <c r="A122" s="307" t="s">
        <v>433</v>
      </c>
      <c r="B122" s="307"/>
      <c r="C122" s="307"/>
      <c r="D122" s="307"/>
      <c r="E122" s="307"/>
      <c r="F122" s="307"/>
      <c r="G122" s="307"/>
      <c r="H122" s="307"/>
      <c r="I122" s="307"/>
      <c r="J122" s="307"/>
      <c r="K122" s="307"/>
      <c r="L122" s="307"/>
      <c r="M122" s="307"/>
      <c r="N122" s="307"/>
      <c r="O122" s="307"/>
      <c r="P122" s="307"/>
    </row>
    <row r="123" spans="1:20" ht="21" x14ac:dyDescent="0.35">
      <c r="A123" s="319" t="s">
        <v>434</v>
      </c>
      <c r="B123" s="319"/>
      <c r="C123" s="319"/>
      <c r="D123" s="319"/>
      <c r="E123" s="319"/>
      <c r="F123" s="319"/>
      <c r="G123" s="319"/>
      <c r="H123" s="319"/>
      <c r="I123" s="319"/>
      <c r="J123" s="319"/>
      <c r="K123" s="319"/>
      <c r="L123" s="319"/>
      <c r="M123" s="319"/>
      <c r="N123" s="319"/>
      <c r="O123" s="319"/>
      <c r="P123" s="319"/>
    </row>
    <row r="124" spans="1:20" ht="21" x14ac:dyDescent="0.35">
      <c r="A124" s="318" t="s">
        <v>490</v>
      </c>
      <c r="B124" s="318"/>
      <c r="C124" s="318"/>
      <c r="D124" s="318"/>
      <c r="E124" s="318"/>
      <c r="F124" s="318"/>
      <c r="G124" s="318"/>
      <c r="H124" s="318"/>
      <c r="I124" s="318"/>
      <c r="J124" s="318"/>
      <c r="K124" s="318"/>
      <c r="L124" s="318"/>
      <c r="M124" s="318"/>
      <c r="N124" s="318"/>
      <c r="O124" s="318"/>
      <c r="P124" s="318"/>
    </row>
    <row r="125" spans="1:20" ht="21" x14ac:dyDescent="0.35">
      <c r="A125" s="319" t="s">
        <v>435</v>
      </c>
      <c r="B125" s="319"/>
      <c r="C125" s="319"/>
      <c r="D125" s="319"/>
      <c r="E125" s="319"/>
      <c r="F125" s="319"/>
      <c r="G125" s="319"/>
      <c r="H125" s="319"/>
      <c r="I125" s="319"/>
      <c r="J125" s="319"/>
      <c r="K125" s="319"/>
      <c r="L125" s="319"/>
      <c r="M125" s="319"/>
      <c r="N125" s="319"/>
      <c r="O125" s="319"/>
      <c r="P125" s="319"/>
    </row>
    <row r="126" spans="1:20" ht="21" x14ac:dyDescent="0.35">
      <c r="A126" s="296" t="s">
        <v>5</v>
      </c>
      <c r="B126" s="296"/>
      <c r="C126" s="296"/>
      <c r="D126" s="296"/>
      <c r="E126" s="296"/>
      <c r="F126" s="296"/>
      <c r="G126" s="296"/>
      <c r="H126" s="296"/>
      <c r="I126" s="296"/>
      <c r="J126" s="296"/>
      <c r="K126" s="296"/>
      <c r="L126" s="296"/>
      <c r="M126" s="296"/>
      <c r="N126" s="296"/>
      <c r="O126" s="296"/>
      <c r="P126" s="296"/>
    </row>
    <row r="127" spans="1:20" ht="21" x14ac:dyDescent="0.35">
      <c r="A127" s="307" t="s">
        <v>425</v>
      </c>
      <c r="B127" s="307"/>
      <c r="C127" s="307"/>
      <c r="D127" s="307"/>
      <c r="E127" s="307"/>
      <c r="F127" s="307"/>
      <c r="G127" s="307"/>
      <c r="H127" s="307"/>
      <c r="I127" s="307"/>
      <c r="J127" s="307"/>
      <c r="K127" s="307"/>
      <c r="L127" s="307"/>
      <c r="M127" s="307"/>
      <c r="N127" s="307"/>
      <c r="O127" s="307"/>
      <c r="P127" s="307"/>
    </row>
    <row r="128" spans="1:20" ht="21" x14ac:dyDescent="0.35">
      <c r="A128" s="307" t="s">
        <v>41</v>
      </c>
      <c r="B128" s="307"/>
      <c r="C128" s="307"/>
      <c r="D128" s="307"/>
      <c r="E128" s="307"/>
      <c r="F128" s="307"/>
      <c r="G128" s="307"/>
      <c r="H128" s="307"/>
      <c r="I128" s="307"/>
      <c r="J128" s="307"/>
      <c r="K128" s="307"/>
      <c r="L128" s="307"/>
      <c r="M128" s="307"/>
      <c r="N128" s="307"/>
      <c r="O128" s="307"/>
      <c r="P128" s="307"/>
    </row>
    <row r="129" spans="1:16" ht="21" x14ac:dyDescent="0.35">
      <c r="A129" s="310" t="s">
        <v>436</v>
      </c>
      <c r="B129" s="310"/>
      <c r="C129" s="310"/>
      <c r="D129" s="310"/>
      <c r="E129" s="310"/>
      <c r="F129" s="310"/>
      <c r="G129" s="310"/>
      <c r="H129" s="310"/>
      <c r="I129" s="310"/>
      <c r="J129" s="310"/>
      <c r="K129" s="310"/>
      <c r="L129" s="310"/>
      <c r="M129" s="310"/>
      <c r="N129" s="310"/>
      <c r="O129" s="310"/>
      <c r="P129" s="310"/>
    </row>
    <row r="130" spans="1:16" ht="21" x14ac:dyDescent="0.35">
      <c r="A130" s="320" t="s">
        <v>437</v>
      </c>
      <c r="B130" s="320"/>
      <c r="C130" s="320"/>
      <c r="D130" s="320"/>
      <c r="E130" s="320"/>
      <c r="F130" s="320"/>
      <c r="G130" s="320"/>
      <c r="H130" s="320"/>
      <c r="I130" s="320"/>
      <c r="J130" s="320"/>
      <c r="K130" s="320"/>
      <c r="L130" s="320"/>
      <c r="M130" s="320"/>
      <c r="N130" s="320"/>
      <c r="O130" s="320"/>
      <c r="P130" s="320"/>
    </row>
    <row r="131" spans="1:16" ht="21" x14ac:dyDescent="0.35">
      <c r="A131" s="320" t="s">
        <v>438</v>
      </c>
      <c r="B131" s="320"/>
      <c r="C131" s="320"/>
      <c r="D131" s="320"/>
      <c r="E131" s="320"/>
      <c r="F131" s="320"/>
      <c r="G131" s="320"/>
      <c r="H131" s="320"/>
      <c r="I131" s="320"/>
      <c r="J131" s="320"/>
      <c r="K131" s="320"/>
      <c r="L131" s="320"/>
      <c r="M131" s="320"/>
      <c r="N131" s="320"/>
      <c r="O131" s="320"/>
      <c r="P131" s="320"/>
    </row>
    <row r="132" spans="1:16" ht="21" customHeight="1" x14ac:dyDescent="0.35">
      <c r="A132" s="184"/>
      <c r="B132" s="184"/>
      <c r="C132" s="184"/>
      <c r="D132" s="184"/>
      <c r="E132" s="184"/>
      <c r="F132" s="184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</row>
    <row r="133" spans="1:16" ht="21" customHeight="1" x14ac:dyDescent="0.35">
      <c r="A133" s="184"/>
      <c r="B133" s="184"/>
      <c r="C133" s="184"/>
      <c r="D133" s="184"/>
      <c r="E133" s="184"/>
      <c r="F133" s="184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</row>
    <row r="134" spans="1:16" ht="21" customHeight="1" x14ac:dyDescent="0.35">
      <c r="A134" s="184"/>
      <c r="B134" s="184"/>
      <c r="C134" s="184"/>
      <c r="D134" s="184"/>
      <c r="E134" s="184"/>
      <c r="F134" s="184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</row>
    <row r="135" spans="1:16" ht="21" customHeight="1" x14ac:dyDescent="0.35">
      <c r="A135" s="184"/>
      <c r="B135" s="184"/>
      <c r="C135" s="184"/>
      <c r="D135" s="184"/>
      <c r="E135" s="184"/>
      <c r="F135" s="184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</row>
    <row r="136" spans="1:16" ht="21" customHeight="1" x14ac:dyDescent="0.35">
      <c r="A136" s="184"/>
      <c r="B136" s="184"/>
      <c r="C136" s="184"/>
      <c r="D136" s="184"/>
      <c r="E136" s="184"/>
      <c r="F136" s="184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</row>
    <row r="137" spans="1:16" ht="21" x14ac:dyDescent="0.35">
      <c r="A137" s="292" t="str">
        <f>TRIM(SUBSTITUTE(LEFT(A14&amp;" ",SEARCH(" ",A14&amp;" ")+1)&amp;"."&amp; MID(A14&amp;" ",SEARCH(" ",A14&amp;" ",SEARCH(" ",A14&amp;" ")+1),2)&amp;"."," .",))</f>
        <v>Зинченко М. А.</v>
      </c>
      <c r="B137" s="292"/>
      <c r="C137" s="292"/>
      <c r="D137" s="292" t="s">
        <v>83</v>
      </c>
      <c r="E137" s="292"/>
      <c r="F137" s="292"/>
      <c r="G137" s="292"/>
      <c r="H137" s="18"/>
      <c r="I137" s="3"/>
      <c r="J137" s="3"/>
      <c r="K137" s="292" t="e">
        <f>TRIM(SUBSTITUTE(LEFT(A18&amp;" ",SEARCH(" ",A18&amp;" ")+1)&amp;"."&amp; MID(A18&amp;" ",SEARCH(" ",A18&amp;" ",SEARCH(" ",A18&amp;" ")+1),2)&amp;"."," .",))</f>
        <v>#VALUE!</v>
      </c>
      <c r="L137" s="292"/>
      <c r="M137" s="292"/>
      <c r="N137" s="292" t="s">
        <v>38</v>
      </c>
      <c r="O137" s="292"/>
      <c r="P137" s="292"/>
    </row>
    <row r="138" spans="1:16" ht="21" x14ac:dyDescent="0.35">
      <c r="A138" s="92"/>
      <c r="B138" s="92"/>
      <c r="C138" s="92"/>
      <c r="D138" s="316" t="s">
        <v>63</v>
      </c>
      <c r="E138" s="316"/>
      <c r="F138" s="316"/>
      <c r="G138" s="316"/>
      <c r="H138" s="18"/>
      <c r="I138" s="38"/>
      <c r="J138" s="38"/>
      <c r="K138" s="38"/>
      <c r="L138" s="38"/>
      <c r="M138" s="38"/>
      <c r="N138" s="316" t="s">
        <v>63</v>
      </c>
      <c r="O138" s="316"/>
      <c r="P138" s="316"/>
    </row>
  </sheetData>
  <mergeCells count="164">
    <mergeCell ref="A119:P119"/>
    <mergeCell ref="A12:H12"/>
    <mergeCell ref="K67:M67"/>
    <mergeCell ref="D68:G68"/>
    <mergeCell ref="N68:P68"/>
    <mergeCell ref="J70:P70"/>
    <mergeCell ref="D138:G138"/>
    <mergeCell ref="N138:P138"/>
    <mergeCell ref="K71:P71"/>
    <mergeCell ref="A124:P124"/>
    <mergeCell ref="A125:P125"/>
    <mergeCell ref="A126:P126"/>
    <mergeCell ref="A127:P127"/>
    <mergeCell ref="A128:P128"/>
    <mergeCell ref="A129:P129"/>
    <mergeCell ref="A130:P130"/>
    <mergeCell ref="A131:P131"/>
    <mergeCell ref="A115:P115"/>
    <mergeCell ref="A116:P116"/>
    <mergeCell ref="A117:P117"/>
    <mergeCell ref="A118:P118"/>
    <mergeCell ref="A122:P122"/>
    <mergeCell ref="A123:P123"/>
    <mergeCell ref="A104:P104"/>
    <mergeCell ref="A86:P86"/>
    <mergeCell ref="A106:P106"/>
    <mergeCell ref="A80:P80"/>
    <mergeCell ref="A81:P81"/>
    <mergeCell ref="A43:P43"/>
    <mergeCell ref="A44:P44"/>
    <mergeCell ref="A67:C67"/>
    <mergeCell ref="A60:P60"/>
    <mergeCell ref="A64:P64"/>
    <mergeCell ref="N67:P67"/>
    <mergeCell ref="D67:G67"/>
    <mergeCell ref="A79:P79"/>
    <mergeCell ref="A82:P82"/>
    <mergeCell ref="A98:P98"/>
    <mergeCell ref="A93:P93"/>
    <mergeCell ref="A87:P87"/>
    <mergeCell ref="A95:P95"/>
    <mergeCell ref="A88:P88"/>
    <mergeCell ref="A92:P92"/>
    <mergeCell ref="A96:P96"/>
    <mergeCell ref="A101:P101"/>
    <mergeCell ref="A102:P102"/>
    <mergeCell ref="A103:P103"/>
    <mergeCell ref="A105:P105"/>
    <mergeCell ref="A39:P39"/>
    <mergeCell ref="A56:P56"/>
    <mergeCell ref="A57:P57"/>
    <mergeCell ref="A137:C137"/>
    <mergeCell ref="D137:G137"/>
    <mergeCell ref="K137:M137"/>
    <mergeCell ref="N137:P137"/>
    <mergeCell ref="A38:P38"/>
    <mergeCell ref="I18:P18"/>
    <mergeCell ref="A114:P114"/>
    <mergeCell ref="A111:P111"/>
    <mergeCell ref="A112:P112"/>
    <mergeCell ref="A120:P120"/>
    <mergeCell ref="A121:P121"/>
    <mergeCell ref="A107:P107"/>
    <mergeCell ref="A109:P109"/>
    <mergeCell ref="A110:P110"/>
    <mergeCell ref="A113:P113"/>
    <mergeCell ref="A108:P108"/>
    <mergeCell ref="A97:P97"/>
    <mergeCell ref="A100:P100"/>
    <mergeCell ref="A89:P89"/>
    <mergeCell ref="A90:P90"/>
    <mergeCell ref="K22:P22"/>
    <mergeCell ref="A94:P94"/>
    <mergeCell ref="A42:P42"/>
    <mergeCell ref="A99:P99"/>
    <mergeCell ref="A52:P52"/>
    <mergeCell ref="A53:P53"/>
    <mergeCell ref="A54:P54"/>
    <mergeCell ref="A55:P55"/>
    <mergeCell ref="A59:P59"/>
    <mergeCell ref="A78:P78"/>
    <mergeCell ref="A77:P77"/>
    <mergeCell ref="A76:P76"/>
    <mergeCell ref="A45:P45"/>
    <mergeCell ref="A46:P46"/>
    <mergeCell ref="A47:P47"/>
    <mergeCell ref="A50:P50"/>
    <mergeCell ref="A51:P51"/>
    <mergeCell ref="M61:P61"/>
    <mergeCell ref="A83:P83"/>
    <mergeCell ref="A84:P84"/>
    <mergeCell ref="A85:P85"/>
    <mergeCell ref="A91:P91"/>
    <mergeCell ref="A73:P73"/>
    <mergeCell ref="A74:P74"/>
    <mergeCell ref="A75:P75"/>
    <mergeCell ref="A26:P26"/>
    <mergeCell ref="A27:P27"/>
    <mergeCell ref="A28:P28"/>
    <mergeCell ref="A29:P29"/>
    <mergeCell ref="A19:D19"/>
    <mergeCell ref="L13:M13"/>
    <mergeCell ref="A15:P15"/>
    <mergeCell ref="A16:P16"/>
    <mergeCell ref="A23:B23"/>
    <mergeCell ref="C23:E23"/>
    <mergeCell ref="F23:P23"/>
    <mergeCell ref="J20:M20"/>
    <mergeCell ref="C20:I20"/>
    <mergeCell ref="B13:E13"/>
    <mergeCell ref="A17:B17"/>
    <mergeCell ref="C17:G17"/>
    <mergeCell ref="A22:B22"/>
    <mergeCell ref="C22:F22"/>
    <mergeCell ref="G22:J22"/>
    <mergeCell ref="A20:B20"/>
    <mergeCell ref="A21:H21"/>
    <mergeCell ref="H17:P17"/>
    <mergeCell ref="I21:P21"/>
    <mergeCell ref="A14:F14"/>
    <mergeCell ref="A4:C5"/>
    <mergeCell ref="D4:E4"/>
    <mergeCell ref="D5:E5"/>
    <mergeCell ref="F4:G4"/>
    <mergeCell ref="F5:G5"/>
    <mergeCell ref="H4:I5"/>
    <mergeCell ref="N19:P19"/>
    <mergeCell ref="N20:P20"/>
    <mergeCell ref="A18:H18"/>
    <mergeCell ref="G14:P14"/>
    <mergeCell ref="D7:I7"/>
    <mergeCell ref="L12:M12"/>
    <mergeCell ref="M7:O7"/>
    <mergeCell ref="B7:C7"/>
    <mergeCell ref="L8:O8"/>
    <mergeCell ref="A10:H10"/>
    <mergeCell ref="A9:P9"/>
    <mergeCell ref="K7:L7"/>
    <mergeCell ref="G19:H19"/>
    <mergeCell ref="G8:I8"/>
    <mergeCell ref="A72:P72"/>
    <mergeCell ref="A58:P58"/>
    <mergeCell ref="R9:R10"/>
    <mergeCell ref="S9:S10"/>
    <mergeCell ref="R12:R13"/>
    <mergeCell ref="S12:S13"/>
    <mergeCell ref="A62:P62"/>
    <mergeCell ref="A63:P63"/>
    <mergeCell ref="A31:P31"/>
    <mergeCell ref="A32:P32"/>
    <mergeCell ref="A33:P33"/>
    <mergeCell ref="A30:P30"/>
    <mergeCell ref="A49:P49"/>
    <mergeCell ref="A40:P40"/>
    <mergeCell ref="A41:P41"/>
    <mergeCell ref="A37:P37"/>
    <mergeCell ref="A34:P34"/>
    <mergeCell ref="A48:P48"/>
    <mergeCell ref="A61:I61"/>
    <mergeCell ref="J61:L61"/>
    <mergeCell ref="A36:P36"/>
    <mergeCell ref="A35:P35"/>
    <mergeCell ref="A24:O24"/>
    <mergeCell ref="A25:P25"/>
  </mergeCells>
  <conditionalFormatting sqref="S112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T117">
    <cfRule type="iconSet" priority="2">
      <iconSet iconSet="3Symbols2">
        <cfvo type="percent" val="0"/>
        <cfvo type="percent" val="33"/>
        <cfvo type="percent" val="67"/>
      </iconSet>
    </cfRule>
  </conditionalFormatting>
  <pageMargins left="0.37" right="0.2" top="0.21" bottom="0.15748031496062992" header="0.31496062992125984" footer="0.31496062992125984"/>
  <pageSetup paperSize="9" scale="56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pageSetUpPr fitToPage="1"/>
  </sheetPr>
  <dimension ref="A2:X66"/>
  <sheetViews>
    <sheetView showZeros="0" topLeftCell="A7" zoomScale="80" zoomScaleNormal="80" workbookViewId="0">
      <selection activeCell="I22" sqref="I22:I23"/>
    </sheetView>
  </sheetViews>
  <sheetFormatPr defaultRowHeight="15" x14ac:dyDescent="0.25"/>
  <cols>
    <col min="1" max="1" width="10.42578125" customWidth="1"/>
    <col min="6" max="6" width="18" customWidth="1"/>
    <col min="7" max="7" width="13.28515625" customWidth="1"/>
    <col min="8" max="8" width="9.42578125" customWidth="1"/>
    <col min="9" max="9" width="8.5703125" customWidth="1"/>
    <col min="10" max="10" width="10.42578125" customWidth="1"/>
    <col min="11" max="11" width="11.7109375" customWidth="1"/>
    <col min="13" max="13" width="16" bestFit="1" customWidth="1"/>
    <col min="15" max="15" width="16.85546875" customWidth="1"/>
    <col min="16" max="16" width="6.42578125" customWidth="1"/>
    <col min="17" max="17" width="20.140625" customWidth="1"/>
  </cols>
  <sheetData>
    <row r="2" spans="1:22" ht="27" thickBot="1" x14ac:dyDescent="0.45">
      <c r="A2" s="351" t="s">
        <v>71</v>
      </c>
      <c r="B2" s="351"/>
      <c r="C2" s="351"/>
      <c r="D2" s="351"/>
      <c r="E2" s="351"/>
      <c r="F2" s="351"/>
      <c r="G2" s="351"/>
      <c r="H2" s="351"/>
      <c r="I2" s="351"/>
      <c r="J2" s="351"/>
      <c r="K2" s="351"/>
      <c r="L2" s="351"/>
      <c r="M2" s="351"/>
      <c r="N2" s="351"/>
      <c r="O2" s="351"/>
      <c r="P2" s="351"/>
      <c r="Q2" s="351"/>
    </row>
    <row r="3" spans="1:22" ht="21.75" thickBot="1" x14ac:dyDescent="0.4">
      <c r="A3" s="356"/>
      <c r="B3" s="356"/>
      <c r="C3" s="356"/>
      <c r="D3" s="356"/>
      <c r="E3" s="356"/>
      <c r="F3" s="356"/>
      <c r="G3" s="356"/>
      <c r="H3" s="356"/>
      <c r="I3" s="5" t="str">
        <f>Дог.!I10</f>
        <v xml:space="preserve"> № </v>
      </c>
      <c r="J3" s="219">
        <f ca="1">Дог.!J10</f>
        <v>21</v>
      </c>
      <c r="K3" s="220">
        <f ca="1">Дог.!K10</f>
        <v>11</v>
      </c>
      <c r="L3" s="220">
        <f ca="1">Дог.!L10</f>
        <v>2025</v>
      </c>
      <c r="M3" s="226">
        <f ca="1">Дог.!M10</f>
        <v>45982.790570370373</v>
      </c>
      <c r="N3" s="227">
        <f>Дог.!N10</f>
        <v>1</v>
      </c>
      <c r="O3" s="2"/>
    </row>
    <row r="4" spans="1:22" ht="21" x14ac:dyDescent="0.35">
      <c r="A4" s="7"/>
      <c r="B4" s="7"/>
      <c r="C4" s="7"/>
      <c r="D4" s="7"/>
      <c r="E4" s="7"/>
      <c r="F4" s="7"/>
      <c r="G4" s="7"/>
      <c r="H4" s="7"/>
      <c r="I4" s="5"/>
      <c r="J4" s="5"/>
      <c r="K4" s="5"/>
      <c r="L4" s="5"/>
      <c r="M4" s="5"/>
      <c r="N4" s="2"/>
      <c r="O4" s="2"/>
    </row>
    <row r="5" spans="1:22" ht="21" x14ac:dyDescent="0.35">
      <c r="A5" s="1"/>
      <c r="B5" s="296" t="s">
        <v>11</v>
      </c>
      <c r="C5" s="296"/>
      <c r="D5" s="296"/>
      <c r="E5" s="296"/>
      <c r="F5" s="1"/>
      <c r="G5" s="1"/>
      <c r="H5" s="1"/>
      <c r="I5" s="7" t="s">
        <v>24</v>
      </c>
      <c r="J5" s="5">
        <f ca="1">Дог.!J13</f>
        <v>21</v>
      </c>
      <c r="K5" s="6" t="s">
        <v>23</v>
      </c>
      <c r="L5" s="301" t="str">
        <f ca="1">Дог.!L13</f>
        <v>Ноябрь</v>
      </c>
      <c r="M5" s="301"/>
      <c r="N5" s="1">
        <f ca="1">Дог.!N13</f>
        <v>2025</v>
      </c>
      <c r="O5" s="1" t="s">
        <v>94</v>
      </c>
    </row>
    <row r="6" spans="1:22" ht="21" customHeight="1" x14ac:dyDescent="0.35">
      <c r="A6" s="305" t="str">
        <f>Дог.!A14</f>
        <v>Зинченко Михаил Александрович</v>
      </c>
      <c r="B6" s="305"/>
      <c r="C6" s="305"/>
      <c r="D6" s="305"/>
      <c r="E6" s="305"/>
      <c r="F6" s="305"/>
      <c r="G6" s="355" t="str">
        <f>Дог.!G14</f>
        <v>22.12.2006 года рождения, паспорт: ID3219844 выдан MKK 218011от 12.02.2023 г.</v>
      </c>
      <c r="H6" s="355"/>
      <c r="I6" s="355"/>
      <c r="J6" s="355"/>
      <c r="K6" s="355"/>
      <c r="L6" s="355"/>
      <c r="M6" s="355"/>
      <c r="N6" s="355"/>
      <c r="O6" s="355"/>
      <c r="P6" s="355"/>
      <c r="Q6" s="355"/>
      <c r="U6" s="31"/>
      <c r="V6" s="31"/>
    </row>
    <row r="7" spans="1:22" ht="21" customHeight="1" x14ac:dyDescent="0.35">
      <c r="A7" s="353" t="str">
        <f>Дог.!A15</f>
        <v>зарегистрированный по адресу город Бишкек, улица Ялтинская 56/1, действующий на основании Свидетельства о государственной</v>
      </c>
      <c r="B7" s="353"/>
      <c r="C7" s="353"/>
      <c r="D7" s="353"/>
      <c r="E7" s="353"/>
      <c r="F7" s="353"/>
      <c r="G7" s="353"/>
      <c r="H7" s="353"/>
      <c r="I7" s="353"/>
      <c r="J7" s="353"/>
      <c r="K7" s="353"/>
      <c r="L7" s="353"/>
      <c r="M7" s="353"/>
      <c r="N7" s="353"/>
      <c r="O7" s="353"/>
      <c r="P7" s="353"/>
      <c r="Q7" s="353"/>
    </row>
    <row r="8" spans="1:22" ht="21" customHeight="1" x14ac:dyDescent="0.35">
      <c r="A8" s="353" t="str">
        <f>Дог.!A16</f>
        <v>регистрации индивидуального предпринимателя по Свердловскому району г. Бишкек № 003-2024-169-5930 от 08.08.2024</v>
      </c>
      <c r="B8" s="353"/>
      <c r="C8" s="353"/>
      <c r="D8" s="353"/>
      <c r="E8" s="353"/>
      <c r="F8" s="353"/>
      <c r="G8" s="353"/>
      <c r="H8" s="353"/>
      <c r="I8" s="353"/>
      <c r="J8" s="353"/>
      <c r="K8" s="353"/>
      <c r="L8" s="353"/>
      <c r="M8" s="353"/>
      <c r="N8" s="353"/>
      <c r="O8" s="353"/>
      <c r="P8" s="353"/>
      <c r="Q8" s="353"/>
    </row>
    <row r="9" spans="1:22" ht="21" customHeight="1" x14ac:dyDescent="0.25">
      <c r="A9" s="352" t="str">
        <f>Дог.!A17</f>
        <v>ИНН:</v>
      </c>
      <c r="B9" s="352"/>
      <c r="C9" s="303">
        <f>Дог.!C17</f>
        <v>22212200650516</v>
      </c>
      <c r="D9" s="352"/>
      <c r="E9" s="352"/>
      <c r="F9" s="352"/>
      <c r="G9" s="352"/>
      <c r="H9" s="352" t="s">
        <v>84</v>
      </c>
      <c r="I9" s="352"/>
      <c r="J9" s="352"/>
      <c r="K9" s="352"/>
      <c r="L9" s="352"/>
      <c r="M9" s="352"/>
      <c r="N9" s="352"/>
      <c r="O9" s="352"/>
      <c r="P9" s="352"/>
      <c r="Q9" s="352"/>
    </row>
    <row r="10" spans="1:22" ht="21" customHeight="1" x14ac:dyDescent="0.35">
      <c r="A10" s="322" t="str">
        <f>Дог.!A18</f>
        <v>{{CLIENT_FULLNAME}}</v>
      </c>
      <c r="B10" s="322"/>
      <c r="C10" s="322"/>
      <c r="D10" s="322"/>
      <c r="E10" s="322"/>
      <c r="F10" s="322"/>
      <c r="G10" s="322"/>
      <c r="H10" s="322"/>
      <c r="I10" s="352" t="s">
        <v>72</v>
      </c>
      <c r="J10" s="352"/>
      <c r="K10" s="352"/>
      <c r="L10" s="352"/>
      <c r="M10" s="352"/>
      <c r="N10" s="352"/>
      <c r="O10" s="352"/>
      <c r="P10" s="352"/>
      <c r="Q10" s="352"/>
    </row>
    <row r="11" spans="1:22" ht="21" customHeight="1" x14ac:dyDescent="0.35">
      <c r="A11" s="353" t="str">
        <f>Дог.!A19</f>
        <v xml:space="preserve"> на основании паспорта:</v>
      </c>
      <c r="B11" s="353"/>
      <c r="C11" s="353"/>
      <c r="D11" s="353"/>
      <c r="E11" s="17" t="str">
        <f>Дог.!E19</f>
        <v>ХХХ</v>
      </c>
      <c r="F11" s="17" t="str">
        <f>Дог.!F19</f>
        <v>№</v>
      </c>
      <c r="G11" s="354" t="str">
        <f>Дог.!G19</f>
        <v>ХХХХХ</v>
      </c>
      <c r="H11" s="354"/>
      <c r="I11" s="14" t="str">
        <f>Дог.!I19</f>
        <v>выдан</v>
      </c>
      <c r="J11" s="17" t="str">
        <f>Дог.!J19</f>
        <v>МКК</v>
      </c>
      <c r="K11" s="17" t="str">
        <f>Дог.!K19</f>
        <v>ХХХХ</v>
      </c>
      <c r="L11" s="17" t="str">
        <f>Дог.!L19</f>
        <v>от</v>
      </c>
      <c r="M11" s="100" t="str">
        <f>Дог.!M19</f>
        <v>ХХХХ</v>
      </c>
      <c r="N11" s="353" t="str">
        <f>Дог.!N19</f>
        <v>зарегистрированный(-ая)</v>
      </c>
      <c r="O11" s="353"/>
      <c r="P11" s="353"/>
      <c r="Q11" s="353"/>
    </row>
    <row r="12" spans="1:22" ht="21" customHeight="1" x14ac:dyDescent="0.25">
      <c r="A12" s="352" t="s">
        <v>36</v>
      </c>
      <c r="B12" s="352"/>
      <c r="C12" s="299" t="str">
        <f>Дог.!C20</f>
        <v>Чуйская область г. Бишкек</v>
      </c>
      <c r="D12" s="299"/>
      <c r="E12" s="299"/>
      <c r="F12" s="299"/>
      <c r="G12" s="299"/>
      <c r="H12" s="299"/>
      <c r="I12" s="299" t="str">
        <f>Дог.!J20</f>
        <v>ул. ХХХХХ</v>
      </c>
      <c r="J12" s="299"/>
      <c r="K12" s="299"/>
      <c r="L12" s="299"/>
      <c r="M12" s="299"/>
      <c r="N12" s="352" t="s">
        <v>37</v>
      </c>
      <c r="O12" s="352"/>
      <c r="P12" s="352"/>
      <c r="Q12" s="352"/>
    </row>
    <row r="13" spans="1:22" ht="21" customHeight="1" x14ac:dyDescent="0.25">
      <c r="A13" s="299" t="str">
        <f>Дог.!A21</f>
        <v>Чуйская область г. Бишкек</v>
      </c>
      <c r="B13" s="299"/>
      <c r="C13" s="299"/>
      <c r="D13" s="299"/>
      <c r="E13" s="299"/>
      <c r="F13" s="299"/>
      <c r="G13" s="299"/>
      <c r="H13" s="299" t="str">
        <f>Дог.!I21</f>
        <v>ул. ХХХХХ</v>
      </c>
      <c r="I13" s="299"/>
      <c r="J13" s="299"/>
      <c r="K13" s="299"/>
      <c r="L13" s="299"/>
      <c r="M13" s="299"/>
      <c r="N13" s="299"/>
      <c r="O13" s="299"/>
      <c r="P13" s="299"/>
      <c r="Q13" s="299"/>
    </row>
    <row r="14" spans="1:22" ht="21" customHeight="1" x14ac:dyDescent="0.25">
      <c r="A14" s="299" t="s">
        <v>252</v>
      </c>
      <c r="B14" s="299"/>
      <c r="C14" s="304" t="str">
        <f>Дог.!C22</f>
        <v>ХХХХ</v>
      </c>
      <c r="D14" s="304"/>
      <c r="E14" s="304"/>
      <c r="F14" s="304"/>
      <c r="G14" s="299" t="s">
        <v>39</v>
      </c>
      <c r="H14" s="299"/>
      <c r="I14" s="299"/>
      <c r="J14" s="299"/>
      <c r="K14" s="299">
        <f>Дог.!K22</f>
        <v>0</v>
      </c>
      <c r="L14" s="299"/>
      <c r="M14" s="299"/>
      <c r="N14" s="299"/>
      <c r="O14" s="299"/>
      <c r="P14" s="299"/>
      <c r="Q14" s="20"/>
    </row>
    <row r="15" spans="1:22" ht="21.75" thickBot="1" x14ac:dyDescent="0.4">
      <c r="A15" s="292" t="s">
        <v>46</v>
      </c>
      <c r="B15" s="292"/>
      <c r="C15" s="292"/>
      <c r="D15" s="292"/>
      <c r="E15" s="292"/>
      <c r="F15" s="292"/>
      <c r="G15" s="292"/>
      <c r="H15" s="292"/>
      <c r="I15" s="292"/>
      <c r="J15" s="292"/>
      <c r="K15" s="292"/>
      <c r="L15" s="292"/>
      <c r="M15" s="292"/>
      <c r="N15" s="292"/>
      <c r="O15" s="292"/>
      <c r="P15" s="292"/>
      <c r="Q15" s="292"/>
    </row>
    <row r="16" spans="1:22" ht="21.75" thickBot="1" x14ac:dyDescent="0.4">
      <c r="A16" s="292" t="s">
        <v>47</v>
      </c>
      <c r="B16" s="292"/>
      <c r="C16" s="292"/>
      <c r="D16" s="292"/>
      <c r="E16" s="5" t="s">
        <v>12</v>
      </c>
      <c r="F16" s="219">
        <f ca="1">J3</f>
        <v>21</v>
      </c>
      <c r="G16" s="220">
        <f ca="1">K3</f>
        <v>11</v>
      </c>
      <c r="H16" s="220">
        <f ca="1">L3</f>
        <v>2025</v>
      </c>
      <c r="I16" s="226">
        <f ca="1">M3</f>
        <v>45982.790570370373</v>
      </c>
      <c r="J16" s="221">
        <f>N3</f>
        <v>1</v>
      </c>
      <c r="K16" s="3" t="s">
        <v>75</v>
      </c>
      <c r="L16" s="3"/>
      <c r="M16" s="3"/>
      <c r="N16" s="3"/>
      <c r="O16" s="3"/>
      <c r="P16" s="3"/>
      <c r="Q16" s="3"/>
    </row>
    <row r="17" spans="1:24" ht="21.75" thickBot="1" x14ac:dyDescent="0.4">
      <c r="A17" s="292" t="s">
        <v>25</v>
      </c>
      <c r="B17" s="292"/>
      <c r="C17" s="292"/>
      <c r="D17" s="292"/>
      <c r="E17" s="292"/>
      <c r="F17" s="292"/>
      <c r="G17" s="292"/>
      <c r="H17" s="292"/>
      <c r="I17" s="292"/>
      <c r="J17" s="292"/>
      <c r="K17" s="5" t="s">
        <v>12</v>
      </c>
      <c r="L17" s="219">
        <f ca="1">F16</f>
        <v>21</v>
      </c>
      <c r="M17" s="220">
        <f ca="1">G16</f>
        <v>11</v>
      </c>
      <c r="N17" s="220">
        <f ca="1">H16</f>
        <v>2025</v>
      </c>
      <c r="O17" s="226">
        <f ca="1">I16</f>
        <v>45982.790570370373</v>
      </c>
      <c r="P17" s="221">
        <f>N3</f>
        <v>1</v>
      </c>
      <c r="Q17" s="13" t="s">
        <v>534</v>
      </c>
      <c r="X17" s="31"/>
    </row>
    <row r="18" spans="1:24" ht="21" x14ac:dyDescent="0.35">
      <c r="A18" s="311" t="s">
        <v>535</v>
      </c>
      <c r="B18" s="311"/>
      <c r="C18" s="311"/>
      <c r="D18" s="311"/>
      <c r="E18" s="311"/>
      <c r="F18" s="311"/>
      <c r="G18" s="311"/>
      <c r="H18" s="311"/>
      <c r="I18" s="311"/>
      <c r="J18" s="311"/>
      <c r="K18" s="311"/>
      <c r="L18" s="311"/>
      <c r="M18" s="311"/>
      <c r="N18" s="311"/>
      <c r="O18" s="311"/>
      <c r="P18" s="311"/>
      <c r="Q18" s="311"/>
    </row>
    <row r="19" spans="1:24" ht="72.75" customHeight="1" x14ac:dyDescent="0.25">
      <c r="A19" s="26" t="s">
        <v>12</v>
      </c>
      <c r="B19" s="361" t="s">
        <v>370</v>
      </c>
      <c r="C19" s="362"/>
      <c r="D19" s="362"/>
      <c r="E19" s="362"/>
      <c r="F19" s="64" t="s">
        <v>491</v>
      </c>
      <c r="G19" s="372" t="s">
        <v>493</v>
      </c>
      <c r="H19" s="373"/>
      <c r="I19" s="64" t="s">
        <v>54</v>
      </c>
      <c r="J19" s="357" t="s">
        <v>343</v>
      </c>
      <c r="K19" s="357"/>
      <c r="L19" s="357" t="s">
        <v>494</v>
      </c>
      <c r="M19" s="357"/>
      <c r="N19" s="357" t="s">
        <v>344</v>
      </c>
      <c r="O19" s="357"/>
      <c r="P19" s="357" t="s">
        <v>656</v>
      </c>
      <c r="Q19" s="357"/>
    </row>
    <row r="20" spans="1:24" ht="21" customHeight="1" x14ac:dyDescent="0.35">
      <c r="A20" s="371">
        <v>1</v>
      </c>
      <c r="B20" s="363" t="str">
        <f>Дог.!A12</f>
        <v>{{TOOL_NAME}}</v>
      </c>
      <c r="C20" s="364"/>
      <c r="D20" s="364"/>
      <c r="E20" s="364"/>
      <c r="F20" s="343"/>
      <c r="G20" s="338"/>
      <c r="H20" s="338"/>
      <c r="I20" s="367">
        <v>1</v>
      </c>
      <c r="J20" s="360">
        <f ca="1">NOW()</f>
        <v>45982.790570370373</v>
      </c>
      <c r="K20" s="360"/>
      <c r="L20" s="360">
        <f ca="1">J20</f>
        <v>45982.790570370373</v>
      </c>
      <c r="M20" s="360"/>
      <c r="N20" s="358">
        <v>1500</v>
      </c>
      <c r="O20" s="359"/>
      <c r="P20" s="358">
        <f>I20*3000</f>
        <v>3000</v>
      </c>
      <c r="Q20" s="359"/>
    </row>
    <row r="21" spans="1:24" ht="21" customHeight="1" x14ac:dyDescent="0.35">
      <c r="A21" s="370"/>
      <c r="B21" s="365"/>
      <c r="C21" s="366"/>
      <c r="D21" s="366"/>
      <c r="E21" s="366"/>
      <c r="F21" s="343"/>
      <c r="G21" s="338"/>
      <c r="H21" s="338"/>
      <c r="I21" s="368"/>
      <c r="J21" s="324">
        <f ca="1">DATE(L3,K3,J3)</f>
        <v>45982</v>
      </c>
      <c r="K21" s="324"/>
      <c r="L21" s="324">
        <f ca="1">J21+1</f>
        <v>45983</v>
      </c>
      <c r="M21" s="330"/>
      <c r="N21" s="346"/>
      <c r="O21" s="347"/>
      <c r="P21" s="346"/>
      <c r="Q21" s="347"/>
    </row>
    <row r="22" spans="1:24" ht="21" customHeight="1" x14ac:dyDescent="0.35">
      <c r="A22" s="369">
        <v>2</v>
      </c>
      <c r="B22" s="363"/>
      <c r="C22" s="364"/>
      <c r="D22" s="364"/>
      <c r="E22" s="364"/>
      <c r="F22" s="343"/>
      <c r="G22" s="338"/>
      <c r="H22" s="338"/>
      <c r="I22" s="367"/>
      <c r="J22" s="339" t="str">
        <f>IF(LEN(B22),J20,"")</f>
        <v/>
      </c>
      <c r="K22" s="339"/>
      <c r="L22" s="339" t="str">
        <f t="shared" ref="L22:L28" si="0">J22</f>
        <v/>
      </c>
      <c r="M22" s="339"/>
      <c r="N22" s="344"/>
      <c r="O22" s="345"/>
      <c r="P22" s="358"/>
      <c r="Q22" s="359"/>
    </row>
    <row r="23" spans="1:24" ht="21" customHeight="1" x14ac:dyDescent="0.35">
      <c r="A23" s="370"/>
      <c r="B23" s="365"/>
      <c r="C23" s="366"/>
      <c r="D23" s="366"/>
      <c r="E23" s="366"/>
      <c r="F23" s="343"/>
      <c r="G23" s="338"/>
      <c r="H23" s="338"/>
      <c r="I23" s="368"/>
      <c r="J23" s="324" t="str">
        <f>IF(LEN(B22),J21,"")</f>
        <v/>
      </c>
      <c r="K23" s="324"/>
      <c r="L23" s="324" t="str">
        <f>IF(LEN(B22),L21,"")</f>
        <v/>
      </c>
      <c r="M23" s="324"/>
      <c r="N23" s="346"/>
      <c r="O23" s="347"/>
      <c r="P23" s="346"/>
      <c r="Q23" s="347"/>
    </row>
    <row r="24" spans="1:24" ht="21" customHeight="1" x14ac:dyDescent="0.35">
      <c r="A24" s="369">
        <v>3</v>
      </c>
      <c r="B24" s="363"/>
      <c r="C24" s="364"/>
      <c r="D24" s="364"/>
      <c r="E24" s="364"/>
      <c r="F24" s="343"/>
      <c r="G24" s="338"/>
      <c r="H24" s="338"/>
      <c r="I24" s="367"/>
      <c r="J24" s="339" t="str">
        <f>IF(LEN(B24),J20,"")</f>
        <v/>
      </c>
      <c r="K24" s="339"/>
      <c r="L24" s="339" t="str">
        <f t="shared" si="0"/>
        <v/>
      </c>
      <c r="M24" s="339"/>
      <c r="N24" s="344"/>
      <c r="O24" s="345"/>
      <c r="P24" s="358">
        <f t="shared" ref="P24" si="1">I24*3000</f>
        <v>0</v>
      </c>
      <c r="Q24" s="359"/>
    </row>
    <row r="25" spans="1:24" ht="21" customHeight="1" x14ac:dyDescent="0.35">
      <c r="A25" s="370"/>
      <c r="B25" s="365"/>
      <c r="C25" s="366"/>
      <c r="D25" s="366"/>
      <c r="E25" s="366"/>
      <c r="F25" s="343"/>
      <c r="G25" s="338"/>
      <c r="H25" s="338"/>
      <c r="I25" s="368"/>
      <c r="J25" s="324" t="str">
        <f>IF(LEN(B24),J21,"")</f>
        <v/>
      </c>
      <c r="K25" s="324"/>
      <c r="L25" s="324" t="str">
        <f>IF(LEN(B24),L21,"")</f>
        <v/>
      </c>
      <c r="M25" s="324"/>
      <c r="N25" s="346"/>
      <c r="O25" s="347"/>
      <c r="P25" s="346"/>
      <c r="Q25" s="347"/>
    </row>
    <row r="26" spans="1:24" ht="21" customHeight="1" x14ac:dyDescent="0.35">
      <c r="A26" s="338">
        <v>4</v>
      </c>
      <c r="B26" s="348"/>
      <c r="C26" s="348"/>
      <c r="D26" s="348"/>
      <c r="E26" s="348"/>
      <c r="F26" s="343"/>
      <c r="G26" s="338"/>
      <c r="H26" s="338"/>
      <c r="I26" s="338"/>
      <c r="J26" s="339" t="str">
        <f>IF(LEN(B26),J20,"")</f>
        <v/>
      </c>
      <c r="K26" s="339"/>
      <c r="L26" s="339" t="str">
        <f t="shared" si="0"/>
        <v/>
      </c>
      <c r="M26" s="339"/>
      <c r="N26" s="344"/>
      <c r="O26" s="345"/>
      <c r="P26" s="358">
        <f t="shared" ref="P26" si="2">I26*3000</f>
        <v>0</v>
      </c>
      <c r="Q26" s="359"/>
    </row>
    <row r="27" spans="1:24" ht="21" customHeight="1" x14ac:dyDescent="0.35">
      <c r="A27" s="338"/>
      <c r="B27" s="348"/>
      <c r="C27" s="348"/>
      <c r="D27" s="348"/>
      <c r="E27" s="348"/>
      <c r="F27" s="343"/>
      <c r="G27" s="338"/>
      <c r="H27" s="338"/>
      <c r="I27" s="338"/>
      <c r="J27" s="324" t="str">
        <f>IF(LEN(B26),J21,"")</f>
        <v/>
      </c>
      <c r="K27" s="324"/>
      <c r="L27" s="324" t="str">
        <f>IF(LEN(B26),L21,"")</f>
        <v/>
      </c>
      <c r="M27" s="324"/>
      <c r="N27" s="346"/>
      <c r="O27" s="347"/>
      <c r="P27" s="346"/>
      <c r="Q27" s="347"/>
    </row>
    <row r="28" spans="1:24" ht="21" x14ac:dyDescent="0.35">
      <c r="A28" s="338">
        <v>5</v>
      </c>
      <c r="B28" s="348"/>
      <c r="C28" s="348"/>
      <c r="D28" s="348"/>
      <c r="E28" s="348"/>
      <c r="F28" s="343"/>
      <c r="G28" s="338"/>
      <c r="H28" s="338"/>
      <c r="I28" s="338"/>
      <c r="J28" s="339" t="str">
        <f>IF(LEN(B28),J20,"")</f>
        <v/>
      </c>
      <c r="K28" s="339"/>
      <c r="L28" s="339" t="str">
        <f t="shared" si="0"/>
        <v/>
      </c>
      <c r="M28" s="339"/>
      <c r="N28" s="344"/>
      <c r="O28" s="345"/>
      <c r="P28" s="358">
        <f t="shared" ref="P28" si="3">I28*3000</f>
        <v>0</v>
      </c>
      <c r="Q28" s="359"/>
    </row>
    <row r="29" spans="1:24" ht="21" x14ac:dyDescent="0.35">
      <c r="A29" s="338"/>
      <c r="B29" s="348"/>
      <c r="C29" s="348"/>
      <c r="D29" s="348"/>
      <c r="E29" s="348"/>
      <c r="F29" s="343"/>
      <c r="G29" s="338"/>
      <c r="H29" s="338"/>
      <c r="I29" s="338"/>
      <c r="J29" s="324" t="str">
        <f>IF(LEN(B28),J21,"")</f>
        <v/>
      </c>
      <c r="K29" s="324"/>
      <c r="L29" s="324" t="str">
        <f>IF(LEN(B28),L21,"")</f>
        <v/>
      </c>
      <c r="M29" s="324"/>
      <c r="N29" s="346"/>
      <c r="O29" s="347"/>
      <c r="P29" s="346"/>
      <c r="Q29" s="347"/>
    </row>
    <row r="30" spans="1:24" ht="21" x14ac:dyDescent="0.35">
      <c r="A30" s="330"/>
      <c r="B30" s="330"/>
      <c r="C30" s="330"/>
      <c r="D30" s="330"/>
      <c r="E30" s="330"/>
      <c r="F30" s="330"/>
      <c r="G30" s="330"/>
      <c r="H30" s="330"/>
      <c r="I30" s="330"/>
      <c r="J30" s="330"/>
      <c r="K30" s="330"/>
      <c r="L30" s="330"/>
      <c r="M30" s="330"/>
      <c r="N30" s="326" t="s">
        <v>14</v>
      </c>
      <c r="O30" s="326"/>
      <c r="P30" s="326">
        <f>SUM(P20:Q29)</f>
        <v>3000</v>
      </c>
      <c r="Q30" s="326"/>
    </row>
    <row r="31" spans="1:24" ht="21" x14ac:dyDescent="0.35">
      <c r="A31" s="331" t="s">
        <v>420</v>
      </c>
      <c r="B31" s="331"/>
      <c r="C31" s="331"/>
      <c r="D31" s="331"/>
      <c r="E31" s="331"/>
      <c r="F31" s="331"/>
      <c r="G31" s="331"/>
      <c r="H31" s="331"/>
      <c r="I31" s="331"/>
      <c r="J31" s="331"/>
      <c r="K31" s="332">
        <f ca="1">L20</f>
        <v>45982.790570370373</v>
      </c>
      <c r="L31" s="333"/>
      <c r="M31" s="149">
        <f ca="1">L21</f>
        <v>45983</v>
      </c>
      <c r="N31" s="83"/>
      <c r="O31" s="121" t="s">
        <v>318</v>
      </c>
      <c r="P31" s="349" t="s">
        <v>323</v>
      </c>
      <c r="Q31" s="350"/>
    </row>
    <row r="32" spans="1:24" ht="21" x14ac:dyDescent="0.35">
      <c r="A32" s="307" t="s">
        <v>372</v>
      </c>
      <c r="B32" s="307"/>
      <c r="C32" s="307"/>
      <c r="D32" s="307"/>
      <c r="E32" s="307"/>
      <c r="F32" s="307"/>
      <c r="G32" s="307"/>
      <c r="H32" s="307"/>
      <c r="I32" s="307"/>
      <c r="J32" s="307"/>
      <c r="K32" s="307"/>
      <c r="L32" s="307"/>
      <c r="M32" s="307"/>
      <c r="N32" s="83"/>
      <c r="O32" s="327" t="s">
        <v>249</v>
      </c>
      <c r="P32" s="328"/>
      <c r="Q32" s="329"/>
    </row>
    <row r="33" spans="1:17" ht="21" x14ac:dyDescent="0.35">
      <c r="A33" s="307" t="s">
        <v>492</v>
      </c>
      <c r="B33" s="307"/>
      <c r="C33" s="307"/>
      <c r="D33" s="307"/>
      <c r="E33" s="307"/>
      <c r="F33" s="307"/>
      <c r="G33" s="307"/>
      <c r="H33" s="307"/>
      <c r="I33" s="307"/>
      <c r="J33" s="307"/>
      <c r="K33" s="307"/>
      <c r="L33" s="307"/>
      <c r="M33" s="307"/>
      <c r="N33" s="83"/>
      <c r="O33" s="325" t="s">
        <v>95</v>
      </c>
      <c r="P33" s="325"/>
      <c r="Q33" s="85" t="s">
        <v>113</v>
      </c>
    </row>
    <row r="34" spans="1:17" ht="21" x14ac:dyDescent="0.35">
      <c r="A34" s="307" t="str">
        <f>IF(LEN(P31),N34,"")</f>
        <v>4. Арендатор добровольно передает личный паспорт гражданина в залог за арендуемое оборудование.</v>
      </c>
      <c r="B34" s="307"/>
      <c r="C34" s="307"/>
      <c r="D34" s="307"/>
      <c r="E34" s="307"/>
      <c r="F34" s="307"/>
      <c r="G34" s="307"/>
      <c r="H34" s="307"/>
      <c r="I34" s="307"/>
      <c r="J34" s="307"/>
      <c r="K34" s="307"/>
      <c r="L34" s="307"/>
      <c r="M34" s="307"/>
      <c r="N34" s="123" t="s">
        <v>373</v>
      </c>
      <c r="O34" s="326"/>
      <c r="P34" s="326"/>
      <c r="Q34" s="84"/>
    </row>
    <row r="35" spans="1:17" ht="21" x14ac:dyDescent="0.35">
      <c r="A35" s="307" t="s">
        <v>374</v>
      </c>
      <c r="B35" s="307"/>
      <c r="C35" s="307"/>
      <c r="D35" s="307"/>
      <c r="E35" s="307"/>
      <c r="F35" s="307"/>
      <c r="G35" s="307"/>
      <c r="H35" s="307"/>
      <c r="I35" s="307"/>
      <c r="J35" s="307"/>
      <c r="K35" s="307"/>
      <c r="L35" s="307"/>
      <c r="M35" s="307"/>
      <c r="N35" s="307"/>
      <c r="O35" s="326"/>
      <c r="P35" s="326"/>
      <c r="Q35" s="84"/>
    </row>
    <row r="36" spans="1:17" ht="21" x14ac:dyDescent="0.35">
      <c r="A36" s="311" t="s">
        <v>375</v>
      </c>
      <c r="B36" s="311"/>
      <c r="C36" s="311"/>
      <c r="D36" s="311"/>
      <c r="E36" s="311"/>
      <c r="F36" s="311"/>
      <c r="G36" s="311"/>
      <c r="H36" s="311"/>
      <c r="I36" s="311"/>
      <c r="J36" s="311"/>
      <c r="K36" s="311"/>
      <c r="L36" s="311"/>
      <c r="M36" s="311"/>
      <c r="N36" s="311"/>
      <c r="O36" s="326"/>
      <c r="P36" s="326"/>
      <c r="Q36" s="84"/>
    </row>
    <row r="37" spans="1:17" ht="21" x14ac:dyDescent="0.35">
      <c r="A37" s="292"/>
      <c r="B37" s="292"/>
      <c r="C37" s="292"/>
      <c r="D37" s="322" t="s">
        <v>48</v>
      </c>
      <c r="E37" s="322"/>
      <c r="F37" s="322"/>
      <c r="G37" s="322"/>
      <c r="H37" s="322" t="str">
        <f>Дог.!L8</f>
        <v>ул. Лермонтова д.№ 68</v>
      </c>
      <c r="I37" s="322"/>
      <c r="J37" s="322"/>
      <c r="K37" s="322"/>
      <c r="L37" s="2"/>
      <c r="M37" s="2"/>
      <c r="N37" s="2"/>
      <c r="O37" s="326"/>
      <c r="P37" s="326"/>
      <c r="Q37" s="84"/>
    </row>
    <row r="38" spans="1:17" ht="21" x14ac:dyDescent="0.35">
      <c r="A38" s="296" t="s">
        <v>653</v>
      </c>
      <c r="B38" s="296"/>
      <c r="C38" s="296"/>
      <c r="D38" s="296"/>
      <c r="E38" s="296"/>
      <c r="F38" s="296"/>
      <c r="G38" s="296"/>
      <c r="H38" s="296"/>
      <c r="I38" s="296"/>
      <c r="J38" s="296"/>
      <c r="K38" s="296"/>
      <c r="L38" s="296"/>
      <c r="M38" s="296"/>
      <c r="N38" s="296"/>
      <c r="O38" s="326"/>
      <c r="P38" s="326"/>
      <c r="Q38" s="84"/>
    </row>
    <row r="39" spans="1:17" ht="21" x14ac:dyDescent="0.35">
      <c r="A39" s="307" t="s">
        <v>655</v>
      </c>
      <c r="B39" s="307"/>
      <c r="C39" s="307"/>
      <c r="D39" s="307"/>
      <c r="E39" s="307"/>
      <c r="F39" s="307"/>
      <c r="G39" s="307"/>
      <c r="H39" s="307"/>
      <c r="I39" s="307"/>
      <c r="J39" s="307"/>
      <c r="K39" s="307"/>
      <c r="L39" s="307"/>
      <c r="M39" s="307"/>
      <c r="N39" s="307"/>
      <c r="O39" s="307"/>
      <c r="P39" s="307"/>
      <c r="Q39" s="307"/>
    </row>
    <row r="40" spans="1:17" ht="21" x14ac:dyDescent="0.35">
      <c r="A40" s="307" t="s">
        <v>654</v>
      </c>
      <c r="B40" s="307"/>
      <c r="C40" s="307"/>
      <c r="D40" s="307"/>
      <c r="E40" s="307"/>
      <c r="F40" s="307"/>
      <c r="G40" s="307"/>
      <c r="H40" s="307"/>
      <c r="I40" s="307"/>
      <c r="J40" s="307"/>
      <c r="K40" s="307"/>
      <c r="L40" s="307"/>
      <c r="M40" s="307"/>
      <c r="N40" s="307"/>
      <c r="O40" s="307"/>
      <c r="P40" s="307"/>
      <c r="Q40" s="307"/>
    </row>
    <row r="41" spans="1:17" ht="21" x14ac:dyDescent="0.35">
      <c r="A41" s="307" t="s">
        <v>536</v>
      </c>
      <c r="B41" s="307"/>
      <c r="C41" s="307"/>
      <c r="D41" s="307"/>
      <c r="E41" s="307"/>
      <c r="F41" s="307"/>
      <c r="G41" s="307"/>
      <c r="H41" s="307"/>
      <c r="I41" s="307"/>
      <c r="J41" s="307"/>
      <c r="K41" s="307"/>
      <c r="L41" s="307"/>
      <c r="M41" s="307"/>
      <c r="N41" s="307"/>
      <c r="O41" s="307"/>
      <c r="P41" s="307"/>
      <c r="Q41" s="307"/>
    </row>
    <row r="42" spans="1:17" ht="21" x14ac:dyDescent="0.35">
      <c r="A42" s="310" t="s">
        <v>648</v>
      </c>
      <c r="B42" s="310"/>
      <c r="C42" s="310"/>
      <c r="D42" s="310"/>
      <c r="E42" s="310"/>
      <c r="F42" s="310"/>
      <c r="G42" s="310"/>
      <c r="H42" s="310"/>
      <c r="I42" s="310"/>
      <c r="J42" s="310"/>
      <c r="K42" s="310"/>
      <c r="L42" s="310"/>
      <c r="M42" s="341">
        <f>P30</f>
        <v>3000</v>
      </c>
      <c r="N42" s="341"/>
      <c r="O42" s="342" t="s">
        <v>537</v>
      </c>
      <c r="P42" s="342"/>
      <c r="Q42" s="342"/>
    </row>
    <row r="43" spans="1:17" ht="21" x14ac:dyDescent="0.35">
      <c r="A43" s="310" t="s">
        <v>650</v>
      </c>
      <c r="B43" s="310"/>
      <c r="C43" s="310"/>
      <c r="D43" s="310"/>
      <c r="E43" s="310"/>
      <c r="F43" s="310"/>
      <c r="G43" s="310"/>
      <c r="H43" s="310"/>
      <c r="I43" s="310"/>
      <c r="J43" s="310"/>
      <c r="K43" s="310"/>
      <c r="L43" s="310"/>
      <c r="M43" s="310"/>
      <c r="N43" s="310"/>
      <c r="O43" s="310"/>
      <c r="P43" s="310"/>
      <c r="Q43" s="310"/>
    </row>
    <row r="44" spans="1:17" ht="21" x14ac:dyDescent="0.35">
      <c r="A44" s="310" t="s">
        <v>649</v>
      </c>
      <c r="B44" s="310"/>
      <c r="C44" s="310"/>
      <c r="D44" s="310"/>
      <c r="E44" s="310"/>
      <c r="F44" s="310"/>
      <c r="G44" s="310"/>
      <c r="H44" s="310"/>
      <c r="I44" s="310"/>
      <c r="J44" s="310"/>
      <c r="K44" s="310"/>
      <c r="L44" s="310"/>
      <c r="M44" s="310"/>
      <c r="N44" s="310"/>
      <c r="O44" s="321"/>
      <c r="P44" s="321"/>
      <c r="Q44" s="233"/>
    </row>
    <row r="45" spans="1:17" ht="21" x14ac:dyDescent="0.35">
      <c r="A45" s="340" t="s">
        <v>652</v>
      </c>
      <c r="B45" s="340"/>
      <c r="C45" s="340"/>
      <c r="D45" s="340"/>
      <c r="E45" s="340"/>
      <c r="F45" s="340"/>
      <c r="G45" s="340"/>
      <c r="H45" s="340"/>
      <c r="I45" s="340"/>
      <c r="J45" s="340"/>
      <c r="K45" s="340"/>
      <c r="L45" s="340"/>
      <c r="M45" s="340"/>
      <c r="N45" s="340"/>
      <c r="O45" s="340"/>
      <c r="P45" s="340"/>
      <c r="Q45" s="340"/>
    </row>
    <row r="46" spans="1:17" ht="21" x14ac:dyDescent="0.35">
      <c r="A46" s="340" t="s">
        <v>651</v>
      </c>
      <c r="B46" s="340"/>
      <c r="C46" s="340"/>
      <c r="D46" s="340"/>
      <c r="E46" s="340"/>
      <c r="F46" s="340"/>
      <c r="G46" s="340"/>
      <c r="H46" s="340"/>
      <c r="I46" s="340"/>
      <c r="J46" s="340"/>
      <c r="K46" s="340"/>
      <c r="L46" s="340"/>
      <c r="M46" s="340"/>
      <c r="N46" s="340"/>
      <c r="O46" s="340"/>
      <c r="P46" s="340"/>
      <c r="Q46" s="340"/>
    </row>
    <row r="47" spans="1:17" ht="21" x14ac:dyDescent="0.35">
      <c r="A47" s="311" t="s">
        <v>538</v>
      </c>
      <c r="B47" s="311"/>
      <c r="C47" s="311"/>
      <c r="D47" s="311"/>
      <c r="E47" s="311"/>
      <c r="F47" s="311"/>
      <c r="G47" s="311"/>
      <c r="H47" s="311"/>
      <c r="I47" s="311"/>
      <c r="J47" s="311"/>
      <c r="K47" s="311"/>
      <c r="L47" s="311"/>
      <c r="M47" s="311"/>
      <c r="N47" s="311"/>
      <c r="O47" s="311"/>
      <c r="P47" s="311"/>
      <c r="Q47" s="311"/>
    </row>
    <row r="48" spans="1:17" ht="21" x14ac:dyDescent="0.35">
      <c r="A48" s="296" t="s">
        <v>6</v>
      </c>
      <c r="B48" s="296"/>
      <c r="C48" s="296"/>
      <c r="D48" s="296"/>
      <c r="E48" s="296"/>
      <c r="F48" s="296"/>
      <c r="G48" s="296"/>
      <c r="H48" s="296"/>
      <c r="I48" s="296"/>
      <c r="J48" s="296"/>
      <c r="K48" s="296"/>
      <c r="L48" s="296"/>
      <c r="M48" s="296"/>
      <c r="N48" s="296"/>
      <c r="O48" s="296"/>
    </row>
    <row r="49" spans="1:17" ht="21" x14ac:dyDescent="0.35">
      <c r="A49" s="296" t="s">
        <v>45</v>
      </c>
      <c r="B49" s="296"/>
      <c r="C49" s="296"/>
      <c r="D49" s="296"/>
      <c r="E49" s="296"/>
      <c r="F49" s="296"/>
      <c r="G49" s="296"/>
      <c r="H49" s="1"/>
      <c r="I49" s="1"/>
      <c r="J49" s="296" t="s">
        <v>44</v>
      </c>
      <c r="K49" s="296"/>
      <c r="L49" s="296"/>
      <c r="M49" s="296"/>
      <c r="N49" s="296"/>
      <c r="O49" s="296"/>
      <c r="P49" s="296"/>
    </row>
    <row r="50" spans="1:17" ht="21" x14ac:dyDescent="0.35">
      <c r="A50" s="3" t="s">
        <v>10</v>
      </c>
      <c r="B50" s="307" t="str">
        <f>Дог.!A14</f>
        <v>Зинченко Михаил Александрович</v>
      </c>
      <c r="C50" s="307"/>
      <c r="D50" s="307"/>
      <c r="E50" s="307"/>
      <c r="F50" s="307"/>
      <c r="G50" s="307"/>
      <c r="H50" s="3"/>
      <c r="I50" s="3"/>
      <c r="J50" s="307" t="str">
        <f>A50</f>
        <v>Ф.И.О.:</v>
      </c>
      <c r="K50" s="307"/>
      <c r="L50" s="307" t="str">
        <f>A10</f>
        <v>{{CLIENT_FULLNAME}}</v>
      </c>
      <c r="M50" s="307"/>
      <c r="N50" s="307"/>
      <c r="O50" s="307"/>
      <c r="P50" s="307"/>
      <c r="Q50" s="307"/>
    </row>
    <row r="51" spans="1:17" ht="21" x14ac:dyDescent="0.35">
      <c r="A51" s="3" t="s">
        <v>28</v>
      </c>
      <c r="B51" s="323">
        <f>Дог.!C17</f>
        <v>22212200650516</v>
      </c>
      <c r="C51" s="323"/>
      <c r="D51" s="323"/>
      <c r="E51" s="323"/>
      <c r="F51" s="323"/>
      <c r="G51" s="323"/>
      <c r="H51" s="3"/>
      <c r="I51" s="12"/>
      <c r="J51" s="323" t="s">
        <v>252</v>
      </c>
      <c r="K51" s="323"/>
      <c r="L51" s="323" t="str">
        <f>C14</f>
        <v>ХХХХ</v>
      </c>
      <c r="M51" s="323"/>
      <c r="N51" s="323"/>
      <c r="O51" s="323"/>
      <c r="P51" s="323"/>
    </row>
    <row r="52" spans="1:17" ht="21" x14ac:dyDescent="0.35">
      <c r="A52" s="307" t="s">
        <v>29</v>
      </c>
      <c r="B52" s="307"/>
      <c r="C52" s="13" t="s">
        <v>251</v>
      </c>
      <c r="D52" s="13" t="s">
        <v>12</v>
      </c>
      <c r="E52" s="307">
        <v>1706490</v>
      </c>
      <c r="F52" s="307"/>
      <c r="G52" s="307"/>
      <c r="H52" s="3"/>
      <c r="I52" s="3"/>
      <c r="J52" s="307" t="str">
        <f>A52</f>
        <v>Паспорт:</v>
      </c>
      <c r="K52" s="307"/>
      <c r="L52" s="3" t="str">
        <f>E11</f>
        <v>ХХХ</v>
      </c>
      <c r="M52" s="13" t="str">
        <f>F11</f>
        <v>№</v>
      </c>
      <c r="N52" s="307" t="str">
        <f>G11</f>
        <v>ХХХХХ</v>
      </c>
      <c r="O52" s="307"/>
      <c r="P52" s="3"/>
      <c r="Q52" s="3"/>
    </row>
    <row r="53" spans="1:17" ht="21" x14ac:dyDescent="0.35">
      <c r="A53" s="307" t="s">
        <v>30</v>
      </c>
      <c r="B53" s="307"/>
      <c r="C53" s="307" t="s">
        <v>272</v>
      </c>
      <c r="D53" s="307"/>
      <c r="E53" s="307"/>
      <c r="F53" s="307"/>
      <c r="G53" s="307"/>
      <c r="H53" s="16"/>
      <c r="I53" s="3"/>
      <c r="J53" s="307" t="str">
        <f>A53</f>
        <v>Выдан:</v>
      </c>
      <c r="K53" s="307"/>
      <c r="L53" s="13" t="str">
        <f>J11</f>
        <v>МКК</v>
      </c>
      <c r="M53" s="13" t="str">
        <f>K11</f>
        <v>ХХХХ</v>
      </c>
      <c r="N53" s="13" t="str">
        <f>L11</f>
        <v>от</v>
      </c>
      <c r="O53" s="102" t="str">
        <f>M11</f>
        <v>ХХХХ</v>
      </c>
      <c r="P53" s="3"/>
    </row>
    <row r="54" spans="1:17" ht="21" x14ac:dyDescent="0.35">
      <c r="A54" s="307" t="s">
        <v>31</v>
      </c>
      <c r="B54" s="307"/>
      <c r="C54" s="307" t="s">
        <v>74</v>
      </c>
      <c r="D54" s="307"/>
      <c r="E54" s="307"/>
      <c r="F54" s="307"/>
      <c r="G54" s="307"/>
      <c r="H54" s="11"/>
      <c r="I54" s="3"/>
      <c r="J54" s="307" t="str">
        <f>A54</f>
        <v>Адрес:</v>
      </c>
      <c r="K54" s="307"/>
      <c r="L54" s="307" t="str">
        <f>C12</f>
        <v>Чуйская область г. Бишкек</v>
      </c>
      <c r="M54" s="307"/>
      <c r="N54" s="307"/>
      <c r="O54" s="307"/>
      <c r="P54" s="307"/>
      <c r="Q54" s="307"/>
    </row>
    <row r="55" spans="1:17" ht="21" x14ac:dyDescent="0.35">
      <c r="A55" s="307" t="s">
        <v>273</v>
      </c>
      <c r="B55" s="307"/>
      <c r="C55" s="307"/>
      <c r="D55" s="307"/>
      <c r="E55" s="307"/>
      <c r="F55" s="307"/>
      <c r="G55" s="307"/>
      <c r="H55" s="3"/>
      <c r="I55" s="3"/>
      <c r="J55" s="292" t="str">
        <f>I12</f>
        <v>ул. ХХХХХ</v>
      </c>
      <c r="K55" s="292"/>
      <c r="L55" s="292"/>
      <c r="M55" s="292"/>
      <c r="N55" s="292"/>
      <c r="O55" s="292"/>
      <c r="P55" s="292"/>
    </row>
    <row r="56" spans="1:17" ht="21" x14ac:dyDescent="0.35">
      <c r="A56" s="307" t="s">
        <v>32</v>
      </c>
      <c r="B56" s="307"/>
      <c r="C56" s="307"/>
      <c r="D56" s="307">
        <v>720051</v>
      </c>
      <c r="E56" s="307"/>
      <c r="F56" s="307"/>
      <c r="G56" s="307"/>
      <c r="H56" s="11"/>
      <c r="I56" s="3"/>
      <c r="J56" s="307" t="str">
        <f>A56</f>
        <v>Почтовый индекс:</v>
      </c>
      <c r="K56" s="307"/>
      <c r="L56" s="307"/>
      <c r="M56" s="307"/>
      <c r="N56" s="307"/>
      <c r="O56" s="3"/>
      <c r="P56" s="3"/>
    </row>
    <row r="57" spans="1:17" ht="21" x14ac:dyDescent="0.35">
      <c r="A57" s="307" t="s">
        <v>7</v>
      </c>
      <c r="B57" s="307"/>
      <c r="C57" s="307"/>
      <c r="D57" s="307"/>
      <c r="E57" s="307"/>
      <c r="F57" s="307"/>
      <c r="G57" s="307"/>
      <c r="H57" s="3"/>
      <c r="I57" s="3"/>
      <c r="J57" s="307" t="str">
        <f>A57</f>
        <v>Банковские реквизиты:</v>
      </c>
      <c r="K57" s="307"/>
      <c r="L57" s="307"/>
      <c r="M57" s="307"/>
      <c r="N57" s="307"/>
      <c r="O57" s="307"/>
      <c r="P57" s="307"/>
    </row>
    <row r="58" spans="1:17" ht="21" x14ac:dyDescent="0.35">
      <c r="A58" s="307" t="s">
        <v>781</v>
      </c>
      <c r="B58" s="307"/>
      <c r="C58" s="307"/>
      <c r="D58" s="307"/>
      <c r="E58" s="307"/>
      <c r="F58" s="307"/>
      <c r="G58" s="307"/>
      <c r="H58" s="3"/>
      <c r="I58" s="3"/>
      <c r="J58" s="307"/>
      <c r="K58" s="307"/>
      <c r="L58" s="307"/>
      <c r="M58" s="307"/>
      <c r="N58" s="307"/>
      <c r="O58" s="307"/>
      <c r="P58" s="307"/>
    </row>
    <row r="59" spans="1:17" ht="21" x14ac:dyDescent="0.35">
      <c r="A59" s="3" t="s">
        <v>49</v>
      </c>
      <c r="B59" s="323" t="s">
        <v>782</v>
      </c>
      <c r="C59" s="323"/>
      <c r="D59" s="323"/>
      <c r="E59" s="323"/>
      <c r="F59" s="323"/>
      <c r="G59" s="323"/>
      <c r="H59" s="3"/>
      <c r="I59" s="3"/>
      <c r="J59" s="3" t="str">
        <f>A59</f>
        <v>р/c:</v>
      </c>
      <c r="K59" s="323"/>
      <c r="L59" s="323"/>
      <c r="M59" s="323"/>
      <c r="N59" s="323"/>
      <c r="O59" s="323"/>
      <c r="P59" s="323"/>
    </row>
    <row r="60" spans="1:17" ht="21" x14ac:dyDescent="0.35">
      <c r="A60" s="3" t="s">
        <v>9</v>
      </c>
      <c r="B60" s="307">
        <v>103001</v>
      </c>
      <c r="C60" s="307"/>
      <c r="D60" s="307"/>
      <c r="E60" s="307"/>
      <c r="F60" s="307"/>
      <c r="G60" s="307"/>
      <c r="H60" s="3"/>
      <c r="I60" s="3"/>
      <c r="J60" s="3" t="str">
        <f>A60</f>
        <v>БИК:</v>
      </c>
      <c r="K60" s="307"/>
      <c r="L60" s="307"/>
      <c r="M60" s="307"/>
      <c r="N60" s="307"/>
      <c r="O60" s="307"/>
      <c r="P60" s="307"/>
    </row>
    <row r="61" spans="1:17" ht="21" x14ac:dyDescent="0.35">
      <c r="A61" s="307" t="s">
        <v>8</v>
      </c>
      <c r="B61" s="307"/>
      <c r="C61" s="307"/>
      <c r="D61" s="307"/>
      <c r="E61" s="307"/>
      <c r="F61" s="307"/>
      <c r="G61" s="307"/>
      <c r="H61" s="3"/>
      <c r="I61" s="3"/>
      <c r="J61" s="307" t="s">
        <v>239</v>
      </c>
      <c r="K61" s="307"/>
      <c r="L61" s="307"/>
      <c r="M61" s="307"/>
      <c r="N61" s="307"/>
      <c r="O61" s="307"/>
      <c r="P61" s="307"/>
    </row>
    <row r="62" spans="1:17" ht="21" x14ac:dyDescent="0.35">
      <c r="A62" s="3" t="s">
        <v>669</v>
      </c>
      <c r="B62" s="307">
        <v>32282661</v>
      </c>
      <c r="C62" s="307"/>
      <c r="D62" s="307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7" ht="21" x14ac:dyDescent="0.35">
      <c r="A63" s="292" t="str">
        <f>TRIM(SUBSTITUTE(LEFT(A6&amp;" ",SEARCH(" ",A6&amp;" ")+1)&amp;"."&amp; MID(A6&amp;" ",SEARCH(" ",A6&amp;" ",SEARCH(" ",A6&amp;" ")+1),2)&amp;"."," .",))</f>
        <v>Зинченко М. А.</v>
      </c>
      <c r="B63" s="292"/>
      <c r="C63" s="292"/>
      <c r="D63" s="292" t="s">
        <v>33</v>
      </c>
      <c r="E63" s="292"/>
      <c r="F63" s="292"/>
      <c r="G63" s="3"/>
      <c r="H63" s="3"/>
      <c r="I63" s="3"/>
      <c r="J63" s="292" t="e">
        <f>TRIM(SUBSTITUTE(LEFT(A10&amp;" ",SEARCH(" ",A10&amp;" ")+1)&amp;"."&amp; MID(A10&amp;" ",SEARCH(" ",A10&amp;" ",SEARCH(" ",A10&amp;" ")+1),2)&amp;"."," .",))</f>
        <v>#VALUE!</v>
      </c>
      <c r="K63" s="292"/>
      <c r="L63" s="292"/>
      <c r="M63" s="307" t="s">
        <v>33</v>
      </c>
      <c r="N63" s="307"/>
      <c r="O63" s="307"/>
      <c r="P63" s="307"/>
    </row>
    <row r="64" spans="1:17" ht="21" x14ac:dyDescent="0.35">
      <c r="A64" s="3"/>
      <c r="B64" s="3"/>
      <c r="C64" s="3"/>
      <c r="D64" s="316" t="s">
        <v>63</v>
      </c>
      <c r="E64" s="316"/>
      <c r="F64" s="316"/>
      <c r="G64" s="37"/>
      <c r="H64" s="37"/>
      <c r="I64" s="37"/>
      <c r="J64" s="37"/>
      <c r="K64" s="37"/>
      <c r="L64" s="37"/>
      <c r="M64" s="316">
        <f>Дог.!M127</f>
        <v>0</v>
      </c>
      <c r="N64" s="316"/>
      <c r="O64" s="316"/>
      <c r="P64" s="316"/>
    </row>
    <row r="65" spans="1:16" ht="21" x14ac:dyDescent="0.35">
      <c r="A65" s="9" t="s">
        <v>24</v>
      </c>
      <c r="B65" s="15">
        <f ca="1">Дог.!J13</f>
        <v>21</v>
      </c>
      <c r="C65" s="10" t="s">
        <v>23</v>
      </c>
      <c r="D65" s="336" t="str">
        <f ca="1">Дог.!L13</f>
        <v>Ноябрь</v>
      </c>
      <c r="E65" s="337"/>
      <c r="F65" s="10">
        <f ca="1">Дог.!N13</f>
        <v>2025</v>
      </c>
      <c r="G65" s="10" t="s">
        <v>94</v>
      </c>
      <c r="H65" s="9"/>
      <c r="I65" s="15"/>
      <c r="J65" s="5" t="str">
        <f>A65</f>
        <v xml:space="preserve"> «</v>
      </c>
      <c r="K65" s="5">
        <f ca="1">B65</f>
        <v>21</v>
      </c>
      <c r="L65" s="1" t="str">
        <f>C65</f>
        <v>»</v>
      </c>
      <c r="M65" s="296" t="str">
        <f ca="1">D65</f>
        <v>Ноябрь</v>
      </c>
      <c r="N65" s="296"/>
      <c r="O65" s="1">
        <f ca="1">F65</f>
        <v>2025</v>
      </c>
      <c r="P65" s="1" t="str">
        <f>G65</f>
        <v>г.</v>
      </c>
    </row>
    <row r="66" spans="1:16" ht="21" x14ac:dyDescent="0.35">
      <c r="A66" s="292" t="s">
        <v>26</v>
      </c>
      <c r="B66" s="292"/>
      <c r="C66" s="334" t="s">
        <v>315</v>
      </c>
      <c r="D66" s="292"/>
      <c r="E66" s="292"/>
      <c r="F66" s="292"/>
      <c r="G66" s="292"/>
      <c r="H66" s="3"/>
      <c r="I66" s="3"/>
      <c r="J66" s="292" t="s">
        <v>26</v>
      </c>
      <c r="K66" s="292"/>
      <c r="L66" s="335" t="str">
        <f>Дог.!D7</f>
        <v>{{CLIENT_PHONE}}</v>
      </c>
      <c r="M66" s="335"/>
      <c r="N66" s="335"/>
      <c r="O66" s="335"/>
      <c r="P66" s="335"/>
    </row>
  </sheetData>
  <mergeCells count="179">
    <mergeCell ref="K14:P14"/>
    <mergeCell ref="H13:Q13"/>
    <mergeCell ref="A13:G13"/>
    <mergeCell ref="N24:O25"/>
    <mergeCell ref="P24:Q25"/>
    <mergeCell ref="J25:K25"/>
    <mergeCell ref="L25:M25"/>
    <mergeCell ref="I24:I25"/>
    <mergeCell ref="G24:H24"/>
    <mergeCell ref="G25:H25"/>
    <mergeCell ref="A17:J17"/>
    <mergeCell ref="A22:A23"/>
    <mergeCell ref="L19:M19"/>
    <mergeCell ref="L20:M20"/>
    <mergeCell ref="I20:I21"/>
    <mergeCell ref="I22:I23"/>
    <mergeCell ref="L24:M24"/>
    <mergeCell ref="N20:O21"/>
    <mergeCell ref="A20:A21"/>
    <mergeCell ref="L23:M23"/>
    <mergeCell ref="N19:O19"/>
    <mergeCell ref="A24:A25"/>
    <mergeCell ref="J24:K24"/>
    <mergeCell ref="G19:H19"/>
    <mergeCell ref="A16:D16"/>
    <mergeCell ref="A18:Q18"/>
    <mergeCell ref="P19:Q19"/>
    <mergeCell ref="P20:Q21"/>
    <mergeCell ref="P22:Q23"/>
    <mergeCell ref="P26:Q27"/>
    <mergeCell ref="P28:Q29"/>
    <mergeCell ref="J19:K19"/>
    <mergeCell ref="J20:K20"/>
    <mergeCell ref="J21:K21"/>
    <mergeCell ref="J22:K22"/>
    <mergeCell ref="L21:M21"/>
    <mergeCell ref="L22:M22"/>
    <mergeCell ref="A28:A29"/>
    <mergeCell ref="J28:K28"/>
    <mergeCell ref="B19:E19"/>
    <mergeCell ref="B20:E21"/>
    <mergeCell ref="B22:E23"/>
    <mergeCell ref="B24:E25"/>
    <mergeCell ref="B26:E27"/>
    <mergeCell ref="F20:F21"/>
    <mergeCell ref="F22:F23"/>
    <mergeCell ref="F24:F25"/>
    <mergeCell ref="L28:M28"/>
    <mergeCell ref="A2:Q2"/>
    <mergeCell ref="A12:B12"/>
    <mergeCell ref="N12:Q12"/>
    <mergeCell ref="A15:Q15"/>
    <mergeCell ref="A7:Q7"/>
    <mergeCell ref="A8:Q8"/>
    <mergeCell ref="A10:H10"/>
    <mergeCell ref="I10:Q10"/>
    <mergeCell ref="A11:D11"/>
    <mergeCell ref="G11:H11"/>
    <mergeCell ref="N11:Q11"/>
    <mergeCell ref="A6:F6"/>
    <mergeCell ref="G6:Q6"/>
    <mergeCell ref="A3:H3"/>
    <mergeCell ref="L5:M5"/>
    <mergeCell ref="H9:Q9"/>
    <mergeCell ref="I12:M12"/>
    <mergeCell ref="C12:H12"/>
    <mergeCell ref="B5:E5"/>
    <mergeCell ref="A9:B9"/>
    <mergeCell ref="C9:G9"/>
    <mergeCell ref="A14:B14"/>
    <mergeCell ref="C14:F14"/>
    <mergeCell ref="G14:J14"/>
    <mergeCell ref="L29:M29"/>
    <mergeCell ref="A39:Q39"/>
    <mergeCell ref="A40:Q40"/>
    <mergeCell ref="B28:E29"/>
    <mergeCell ref="F28:F29"/>
    <mergeCell ref="G28:H28"/>
    <mergeCell ref="G29:H29"/>
    <mergeCell ref="G27:H27"/>
    <mergeCell ref="I28:I29"/>
    <mergeCell ref="I26:I27"/>
    <mergeCell ref="G26:H26"/>
    <mergeCell ref="O37:P37"/>
    <mergeCell ref="P31:Q31"/>
    <mergeCell ref="O38:P38"/>
    <mergeCell ref="A26:A27"/>
    <mergeCell ref="P30:Q30"/>
    <mergeCell ref="G20:H20"/>
    <mergeCell ref="G21:H21"/>
    <mergeCell ref="G22:H22"/>
    <mergeCell ref="G23:H23"/>
    <mergeCell ref="A57:G57"/>
    <mergeCell ref="L26:M26"/>
    <mergeCell ref="L27:M27"/>
    <mergeCell ref="J26:K26"/>
    <mergeCell ref="J27:K27"/>
    <mergeCell ref="J23:K23"/>
    <mergeCell ref="A46:Q46"/>
    <mergeCell ref="J49:P49"/>
    <mergeCell ref="J53:K53"/>
    <mergeCell ref="B50:G50"/>
    <mergeCell ref="A43:Q43"/>
    <mergeCell ref="A45:Q45"/>
    <mergeCell ref="M42:N42"/>
    <mergeCell ref="O42:Q42"/>
    <mergeCell ref="F26:F27"/>
    <mergeCell ref="N22:O23"/>
    <mergeCell ref="A48:O48"/>
    <mergeCell ref="A49:G49"/>
    <mergeCell ref="N26:O27"/>
    <mergeCell ref="N28:O29"/>
    <mergeCell ref="A66:B66"/>
    <mergeCell ref="C66:G66"/>
    <mergeCell ref="J66:K66"/>
    <mergeCell ref="L66:P66"/>
    <mergeCell ref="K59:P59"/>
    <mergeCell ref="K60:P60"/>
    <mergeCell ref="J61:P61"/>
    <mergeCell ref="B59:G59"/>
    <mergeCell ref="B60:G60"/>
    <mergeCell ref="A61:G61"/>
    <mergeCell ref="J63:L63"/>
    <mergeCell ref="M63:P63"/>
    <mergeCell ref="A63:C63"/>
    <mergeCell ref="D63:F63"/>
    <mergeCell ref="D65:E65"/>
    <mergeCell ref="M65:N65"/>
    <mergeCell ref="D64:F64"/>
    <mergeCell ref="M64:P64"/>
    <mergeCell ref="B62:D62"/>
    <mergeCell ref="J50:K50"/>
    <mergeCell ref="B51:G51"/>
    <mergeCell ref="J51:K51"/>
    <mergeCell ref="L51:P51"/>
    <mergeCell ref="J29:K29"/>
    <mergeCell ref="O33:P33"/>
    <mergeCell ref="O34:P34"/>
    <mergeCell ref="O32:Q32"/>
    <mergeCell ref="A30:M30"/>
    <mergeCell ref="A32:M32"/>
    <mergeCell ref="A33:M33"/>
    <mergeCell ref="A34:M34"/>
    <mergeCell ref="A47:Q47"/>
    <mergeCell ref="L50:Q50"/>
    <mergeCell ref="A35:N35"/>
    <mergeCell ref="A36:N36"/>
    <mergeCell ref="H37:K37"/>
    <mergeCell ref="A38:N38"/>
    <mergeCell ref="O35:P35"/>
    <mergeCell ref="O36:P36"/>
    <mergeCell ref="A31:J31"/>
    <mergeCell ref="K31:L31"/>
    <mergeCell ref="N30:O30"/>
    <mergeCell ref="A42:L42"/>
    <mergeCell ref="J58:P58"/>
    <mergeCell ref="A54:B54"/>
    <mergeCell ref="A41:Q41"/>
    <mergeCell ref="A44:N44"/>
    <mergeCell ref="O44:P44"/>
    <mergeCell ref="A37:C37"/>
    <mergeCell ref="D37:G37"/>
    <mergeCell ref="J55:P55"/>
    <mergeCell ref="A55:G55"/>
    <mergeCell ref="A56:C56"/>
    <mergeCell ref="D56:G56"/>
    <mergeCell ref="J56:L56"/>
    <mergeCell ref="M56:N56"/>
    <mergeCell ref="A52:B52"/>
    <mergeCell ref="E52:G52"/>
    <mergeCell ref="A53:B53"/>
    <mergeCell ref="C54:G54"/>
    <mergeCell ref="J54:K54"/>
    <mergeCell ref="L54:Q54"/>
    <mergeCell ref="J52:K52"/>
    <mergeCell ref="N52:O52"/>
    <mergeCell ref="C53:G53"/>
    <mergeCell ref="A58:G58"/>
    <mergeCell ref="J57:P57"/>
  </mergeCells>
  <pageMargins left="0.25" right="0.25" top="0.23" bottom="0.2" header="0.22" footer="0.2"/>
  <pageSetup paperSize="9" scale="50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>
    <pageSetUpPr fitToPage="1"/>
  </sheetPr>
  <dimension ref="A3:Q51"/>
  <sheetViews>
    <sheetView showZeros="0" zoomScale="80" zoomScaleNormal="80" workbookViewId="0">
      <selection activeCell="N22" sqref="N22:Q22"/>
    </sheetView>
  </sheetViews>
  <sheetFormatPr defaultRowHeight="15" x14ac:dyDescent="0.25"/>
  <cols>
    <col min="6" max="6" width="17.140625" customWidth="1"/>
    <col min="8" max="8" width="15.140625" customWidth="1"/>
    <col min="9" max="9" width="13.5703125" customWidth="1"/>
    <col min="11" max="11" width="11.28515625" bestFit="1" customWidth="1"/>
    <col min="13" max="13" width="16" bestFit="1" customWidth="1"/>
    <col min="14" max="14" width="9.140625" customWidth="1"/>
    <col min="16" max="16" width="9.140625" customWidth="1"/>
    <col min="17" max="17" width="13.7109375" customWidth="1"/>
  </cols>
  <sheetData>
    <row r="3" spans="1:17" ht="26.25" x14ac:dyDescent="0.4">
      <c r="A3" s="351" t="s">
        <v>15</v>
      </c>
      <c r="B3" s="351"/>
      <c r="C3" s="351"/>
      <c r="D3" s="351"/>
      <c r="E3" s="351"/>
      <c r="F3" s="351"/>
      <c r="G3" s="351"/>
      <c r="H3" s="351"/>
      <c r="I3" s="351"/>
      <c r="J3" s="351"/>
      <c r="K3" s="351"/>
      <c r="L3" s="351"/>
      <c r="M3" s="351"/>
      <c r="N3" s="351"/>
      <c r="O3" s="351"/>
      <c r="P3" s="351"/>
      <c r="Q3" s="351"/>
    </row>
    <row r="4" spans="1:17" ht="27" thickBot="1" x14ac:dyDescent="0.45">
      <c r="A4" s="351" t="s">
        <v>50</v>
      </c>
      <c r="B4" s="351"/>
      <c r="C4" s="351"/>
      <c r="D4" s="351"/>
      <c r="E4" s="351"/>
      <c r="F4" s="351"/>
      <c r="G4" s="351"/>
      <c r="H4" s="351"/>
      <c r="I4" s="351"/>
      <c r="J4" s="351"/>
      <c r="K4" s="351"/>
      <c r="L4" s="351"/>
      <c r="M4" s="351"/>
      <c r="N4" s="351"/>
      <c r="O4" s="351"/>
      <c r="P4" s="351"/>
      <c r="Q4" s="351"/>
    </row>
    <row r="5" spans="1:17" ht="21.75" thickBot="1" x14ac:dyDescent="0.4">
      <c r="A5" s="356"/>
      <c r="B5" s="356"/>
      <c r="C5" s="356"/>
      <c r="D5" s="356"/>
      <c r="E5" s="356"/>
      <c r="F5" s="356"/>
      <c r="G5" s="356"/>
      <c r="H5" s="356"/>
      <c r="I5" s="356"/>
      <c r="J5" s="5" t="s">
        <v>12</v>
      </c>
      <c r="K5" s="219">
        <f ca="1">'Пр №1'!J3</f>
        <v>21</v>
      </c>
      <c r="L5" s="220">
        <f ca="1">'Пр №1'!K3</f>
        <v>11</v>
      </c>
      <c r="M5" s="220">
        <f ca="1">'Пр №1'!L3</f>
        <v>2025</v>
      </c>
      <c r="N5" s="226">
        <f ca="1">'Пр №1'!M3</f>
        <v>45982.790570370373</v>
      </c>
      <c r="O5" s="227">
        <f>'Пр №1'!N3</f>
        <v>1</v>
      </c>
    </row>
    <row r="6" spans="1:17" ht="21" x14ac:dyDescent="0.35">
      <c r="A6" s="1"/>
      <c r="B6" s="296" t="str">
        <f>Дог.!B13</f>
        <v xml:space="preserve">г. Бишкек </v>
      </c>
      <c r="C6" s="296"/>
      <c r="D6" s="296"/>
      <c r="E6" s="296"/>
      <c r="F6" s="1"/>
      <c r="G6" s="1"/>
      <c r="H6" s="1"/>
      <c r="I6" s="7" t="str">
        <f>'Пр №1'!I5</f>
        <v xml:space="preserve"> «</v>
      </c>
      <c r="J6" s="5">
        <f ca="1">'Пр №1'!J5</f>
        <v>21</v>
      </c>
      <c r="K6" s="1" t="str">
        <f>'Пр №1'!K5</f>
        <v>»</v>
      </c>
      <c r="L6" s="296" t="str">
        <f ca="1">'Пр №1'!L5</f>
        <v>Ноябрь</v>
      </c>
      <c r="M6" s="296"/>
      <c r="N6" s="1">
        <f ca="1">'Пр №1'!N5</f>
        <v>2025</v>
      </c>
      <c r="O6" s="1" t="str">
        <f>'Пр №1'!O5</f>
        <v>г.</v>
      </c>
    </row>
    <row r="7" spans="1:17" ht="21" customHeight="1" x14ac:dyDescent="0.35">
      <c r="A7" s="305" t="str">
        <f>'Пр №1'!A6:E6</f>
        <v>Зинченко Михаил Александрович</v>
      </c>
      <c r="B7" s="305"/>
      <c r="C7" s="305"/>
      <c r="D7" s="305"/>
      <c r="E7" s="305"/>
      <c r="F7" s="305"/>
      <c r="G7" s="355" t="str">
        <f>'Пр №1'!G6:Q6</f>
        <v>22.12.2006 года рождения, паспорт: ID3219844 выдан MKK 218011от 12.02.2023 г.</v>
      </c>
      <c r="H7" s="355"/>
      <c r="I7" s="355"/>
      <c r="J7" s="355"/>
      <c r="K7" s="355"/>
      <c r="L7" s="355"/>
      <c r="M7" s="355"/>
      <c r="N7" s="355"/>
      <c r="O7" s="355"/>
      <c r="P7" s="355"/>
      <c r="Q7" s="355"/>
    </row>
    <row r="8" spans="1:17" ht="21" customHeight="1" x14ac:dyDescent="0.35">
      <c r="A8" s="353" t="str">
        <f>'Пр №1'!A7:Q7</f>
        <v>зарегистрированный по адресу город Бишкек, улица Ялтинская 56/1, действующий на основании Свидетельства о государственной</v>
      </c>
      <c r="B8" s="353"/>
      <c r="C8" s="353"/>
      <c r="D8" s="353"/>
      <c r="E8" s="353"/>
      <c r="F8" s="353"/>
      <c r="G8" s="353"/>
      <c r="H8" s="353"/>
      <c r="I8" s="353"/>
      <c r="J8" s="353"/>
      <c r="K8" s="353"/>
      <c r="L8" s="353"/>
      <c r="M8" s="353"/>
      <c r="N8" s="353"/>
      <c r="O8" s="353"/>
      <c r="P8" s="353"/>
      <c r="Q8" s="353"/>
    </row>
    <row r="9" spans="1:17" ht="21" customHeight="1" x14ac:dyDescent="0.35">
      <c r="A9" s="353" t="str">
        <f>'Пр №1'!A8:Q8</f>
        <v>регистрации индивидуального предпринимателя по Свердловскому району г. Бишкек № 003-2024-169-5930 от 08.08.2024</v>
      </c>
      <c r="B9" s="353"/>
      <c r="C9" s="353"/>
      <c r="D9" s="353"/>
      <c r="E9" s="353"/>
      <c r="F9" s="353"/>
      <c r="G9" s="353"/>
      <c r="H9" s="353"/>
      <c r="I9" s="353"/>
      <c r="J9" s="353"/>
      <c r="K9" s="353"/>
      <c r="L9" s="353"/>
      <c r="M9" s="353"/>
      <c r="N9" s="353"/>
      <c r="O9" s="353"/>
      <c r="P9" s="353"/>
      <c r="Q9" s="353"/>
    </row>
    <row r="10" spans="1:17" ht="21" customHeight="1" x14ac:dyDescent="0.25">
      <c r="A10" s="352" t="str">
        <f>'Пр №1'!A9:G9</f>
        <v>ИНН:</v>
      </c>
      <c r="B10" s="352"/>
      <c r="C10" s="303">
        <f>'Пр №1'!C9:G9</f>
        <v>22212200650516</v>
      </c>
      <c r="D10" s="352"/>
      <c r="E10" s="352"/>
      <c r="F10" s="352"/>
      <c r="G10" s="352"/>
      <c r="H10" s="352" t="s">
        <v>84</v>
      </c>
      <c r="I10" s="352"/>
      <c r="J10" s="352"/>
      <c r="K10" s="352"/>
      <c r="L10" s="352"/>
      <c r="M10" s="352"/>
      <c r="N10" s="352"/>
      <c r="O10" s="352"/>
      <c r="P10" s="352"/>
      <c r="Q10" s="352"/>
    </row>
    <row r="11" spans="1:17" ht="21" customHeight="1" x14ac:dyDescent="0.35">
      <c r="A11" s="322" t="str">
        <f>Дог.!A18</f>
        <v>{{CLIENT_FULLNAME}}</v>
      </c>
      <c r="B11" s="322"/>
      <c r="C11" s="322"/>
      <c r="D11" s="322"/>
      <c r="E11" s="322"/>
      <c r="F11" s="322"/>
      <c r="G11" s="322"/>
      <c r="H11" s="322"/>
      <c r="I11" s="352" t="s">
        <v>72</v>
      </c>
      <c r="J11" s="352"/>
      <c r="K11" s="352"/>
      <c r="L11" s="352"/>
      <c r="M11" s="352"/>
      <c r="N11" s="352"/>
      <c r="O11" s="352"/>
      <c r="P11" s="352"/>
      <c r="Q11" s="352"/>
    </row>
    <row r="12" spans="1:17" ht="21" customHeight="1" x14ac:dyDescent="0.35">
      <c r="A12" s="353" t="str">
        <f>Дог.!A19</f>
        <v xml:space="preserve"> на основании паспорта:</v>
      </c>
      <c r="B12" s="353"/>
      <c r="C12" s="353"/>
      <c r="D12" s="353"/>
      <c r="E12" s="17" t="str">
        <f>Дог.!E19</f>
        <v>ХХХ</v>
      </c>
      <c r="F12" s="17" t="str">
        <f>Дог.!F19</f>
        <v>№</v>
      </c>
      <c r="G12" s="354" t="str">
        <f>Дог.!G19</f>
        <v>ХХХХХ</v>
      </c>
      <c r="H12" s="354"/>
      <c r="I12" s="14" t="str">
        <f>Дог.!I19</f>
        <v>выдан</v>
      </c>
      <c r="J12" s="17" t="str">
        <f>Дог.!J19</f>
        <v>МКК</v>
      </c>
      <c r="K12" s="17" t="str">
        <f>'Пр №1'!K11</f>
        <v>ХХХХ</v>
      </c>
      <c r="L12" s="17" t="str">
        <f>'Пр №1'!L11</f>
        <v>от</v>
      </c>
      <c r="M12" s="100" t="str">
        <f>'Пр №1'!M11</f>
        <v>ХХХХ</v>
      </c>
      <c r="N12" s="353" t="str">
        <f>Дог.!N19</f>
        <v>зарегистрированный(-ая)</v>
      </c>
      <c r="O12" s="353"/>
      <c r="P12" s="353"/>
      <c r="Q12" s="353"/>
    </row>
    <row r="13" spans="1:17" ht="21" customHeight="1" x14ac:dyDescent="0.25">
      <c r="A13" s="352" t="s">
        <v>36</v>
      </c>
      <c r="B13" s="352"/>
      <c r="C13" s="299" t="str">
        <f>'Пр №1'!C12:G12</f>
        <v>Чуйская область г. Бишкек</v>
      </c>
      <c r="D13" s="299"/>
      <c r="E13" s="299"/>
      <c r="F13" s="299"/>
      <c r="G13" s="299"/>
      <c r="H13" s="299"/>
      <c r="I13" s="299" t="str">
        <f>'Пр №1'!I12:M12</f>
        <v>ул. ХХХХХ</v>
      </c>
      <c r="J13" s="299"/>
      <c r="K13" s="299"/>
      <c r="L13" s="299"/>
      <c r="M13" s="299"/>
      <c r="N13" s="352" t="s">
        <v>37</v>
      </c>
      <c r="O13" s="352"/>
      <c r="P13" s="352"/>
      <c r="Q13" s="352"/>
    </row>
    <row r="14" spans="1:17" ht="21" customHeight="1" x14ac:dyDescent="0.25">
      <c r="A14" s="299" t="str">
        <f>'Пр №1'!A13:E13</f>
        <v>Чуйская область г. Бишкек</v>
      </c>
      <c r="B14" s="299"/>
      <c r="C14" s="299"/>
      <c r="D14" s="299"/>
      <c r="E14" s="299"/>
      <c r="F14" s="299"/>
      <c r="G14" s="299"/>
      <c r="H14" s="299" t="str">
        <f>'Пр №1'!H13:Q13</f>
        <v>ул. ХХХХХ</v>
      </c>
      <c r="I14" s="299"/>
      <c r="J14" s="299"/>
      <c r="K14" s="299"/>
      <c r="L14" s="299"/>
      <c r="M14" s="299"/>
      <c r="N14" s="299"/>
      <c r="O14" s="299"/>
      <c r="P14" s="299"/>
      <c r="Q14" s="299"/>
    </row>
    <row r="15" spans="1:17" ht="21" customHeight="1" x14ac:dyDescent="0.25">
      <c r="A15" s="299" t="s">
        <v>252</v>
      </c>
      <c r="B15" s="299"/>
      <c r="C15" s="304" t="str">
        <f>'Пр №1'!C14:F14</f>
        <v>ХХХХ</v>
      </c>
      <c r="D15" s="304"/>
      <c r="E15" s="304"/>
      <c r="F15" s="304"/>
      <c r="G15" s="299" t="s">
        <v>39</v>
      </c>
      <c r="H15" s="299"/>
      <c r="I15" s="299"/>
      <c r="J15" s="299"/>
      <c r="K15" s="299">
        <f>'Пр №1'!K14:P14</f>
        <v>0</v>
      </c>
      <c r="L15" s="299"/>
      <c r="M15" s="299"/>
      <c r="N15" s="299"/>
      <c r="O15" s="299"/>
      <c r="P15" s="299"/>
      <c r="Q15" s="20"/>
    </row>
    <row r="16" spans="1:17" ht="21.75" thickBot="1" x14ac:dyDescent="0.4">
      <c r="A16" s="292" t="s">
        <v>52</v>
      </c>
      <c r="B16" s="292"/>
      <c r="C16" s="292"/>
      <c r="D16" s="292"/>
      <c r="E16" s="292"/>
      <c r="F16" s="292"/>
      <c r="G16" s="292"/>
      <c r="H16" s="292"/>
      <c r="I16" s="292"/>
      <c r="J16" s="292"/>
      <c r="K16" s="292"/>
      <c r="L16" s="292"/>
      <c r="M16" s="292"/>
      <c r="N16" s="292"/>
      <c r="O16" s="292"/>
      <c r="P16" s="292"/>
      <c r="Q16" s="292"/>
    </row>
    <row r="17" spans="1:17" ht="21.75" thickBot="1" x14ac:dyDescent="0.4">
      <c r="A17" s="292" t="s">
        <v>47</v>
      </c>
      <c r="B17" s="292"/>
      <c r="C17" s="292"/>
      <c r="D17" s="292"/>
      <c r="E17" s="5" t="s">
        <v>12</v>
      </c>
      <c r="F17" s="219">
        <f ca="1">K5</f>
        <v>21</v>
      </c>
      <c r="G17" s="220">
        <f ca="1">L5</f>
        <v>11</v>
      </c>
      <c r="H17" s="220">
        <f ca="1">M5</f>
        <v>2025</v>
      </c>
      <c r="I17" s="226">
        <f ca="1">N5</f>
        <v>45982.790570370373</v>
      </c>
      <c r="J17" s="221">
        <f>O5</f>
        <v>1</v>
      </c>
      <c r="K17" s="3" t="s">
        <v>75</v>
      </c>
      <c r="L17" s="3"/>
      <c r="M17" s="3"/>
      <c r="N17" s="3"/>
      <c r="O17" s="3"/>
      <c r="P17" s="3"/>
      <c r="Q17" s="3"/>
    </row>
    <row r="18" spans="1:17" ht="21.75" thickBot="1" x14ac:dyDescent="0.4">
      <c r="A18" s="311" t="s">
        <v>51</v>
      </c>
      <c r="B18" s="311"/>
      <c r="C18" s="311"/>
      <c r="D18" s="311"/>
      <c r="E18" s="311"/>
      <c r="F18" s="311"/>
      <c r="G18" s="311"/>
      <c r="H18" s="311"/>
      <c r="I18" s="311"/>
      <c r="J18" s="5" t="s">
        <v>12</v>
      </c>
      <c r="K18" s="219">
        <f ca="1">K5</f>
        <v>21</v>
      </c>
      <c r="L18" s="220">
        <f ca="1">L5</f>
        <v>11</v>
      </c>
      <c r="M18" s="220">
        <f ca="1">M5</f>
        <v>2025</v>
      </c>
      <c r="N18" s="226">
        <f ca="1">N5</f>
        <v>45982.790570370373</v>
      </c>
      <c r="O18" s="227">
        <f>O5</f>
        <v>1</v>
      </c>
    </row>
    <row r="19" spans="1:17" ht="21" x14ac:dyDescent="0.35">
      <c r="A19" s="307" t="s">
        <v>16</v>
      </c>
      <c r="B19" s="307"/>
      <c r="C19" s="307"/>
      <c r="D19" s="307"/>
      <c r="E19" s="307"/>
      <c r="F19" s="307"/>
      <c r="G19" s="307"/>
      <c r="H19" s="307"/>
      <c r="I19" s="307"/>
      <c r="J19" s="307"/>
      <c r="K19" s="307"/>
      <c r="L19" s="307"/>
      <c r="M19" s="307"/>
      <c r="N19" s="307"/>
      <c r="O19" s="307"/>
    </row>
    <row r="20" spans="1:17" ht="41.25" customHeight="1" x14ac:dyDescent="0.25">
      <c r="A20" s="25" t="s">
        <v>12</v>
      </c>
      <c r="B20" s="377" t="s">
        <v>370</v>
      </c>
      <c r="C20" s="378"/>
      <c r="D20" s="378"/>
      <c r="E20" s="378"/>
      <c r="F20" s="378"/>
      <c r="G20" s="378"/>
      <c r="H20" s="378"/>
      <c r="I20" s="379"/>
      <c r="J20" s="375" t="s">
        <v>55</v>
      </c>
      <c r="K20" s="375"/>
      <c r="L20" s="392" t="s">
        <v>76</v>
      </c>
      <c r="M20" s="392"/>
      <c r="N20" s="389" t="s">
        <v>18</v>
      </c>
      <c r="O20" s="390"/>
      <c r="P20" s="390"/>
      <c r="Q20" s="391"/>
    </row>
    <row r="21" spans="1:17" ht="21" x14ac:dyDescent="0.35">
      <c r="A21" s="4">
        <f>'Пр №1'!A20</f>
        <v>1</v>
      </c>
      <c r="B21" s="380" t="str">
        <f>'Пр №1'!B20</f>
        <v>{{TOOL_NAME}}</v>
      </c>
      <c r="C21" s="381"/>
      <c r="D21" s="381"/>
      <c r="E21" s="381"/>
      <c r="F21" s="381"/>
      <c r="G21" s="381"/>
      <c r="H21" s="381"/>
      <c r="I21" s="382"/>
      <c r="J21" s="376">
        <f>'Пр №1'!I20</f>
        <v>1</v>
      </c>
      <c r="K21" s="376"/>
      <c r="L21" s="376">
        <v>112</v>
      </c>
      <c r="M21" s="376"/>
      <c r="N21" s="386">
        <f>35000*J21</f>
        <v>35000</v>
      </c>
      <c r="O21" s="387"/>
      <c r="P21" s="387"/>
      <c r="Q21" s="388"/>
    </row>
    <row r="22" spans="1:17" ht="21" x14ac:dyDescent="0.35">
      <c r="A22" s="4">
        <v>2</v>
      </c>
      <c r="B22" s="380">
        <f>'Пр №1'!B22</f>
        <v>0</v>
      </c>
      <c r="C22" s="381"/>
      <c r="D22" s="381"/>
      <c r="E22" s="381"/>
      <c r="F22" s="381"/>
      <c r="G22" s="381"/>
      <c r="H22" s="381"/>
      <c r="I22" s="382"/>
      <c r="J22" s="376">
        <f>'Пр №1'!I22</f>
        <v>0</v>
      </c>
      <c r="K22" s="376"/>
      <c r="L22" s="376"/>
      <c r="M22" s="376"/>
      <c r="N22" s="386">
        <f t="shared" ref="N22:N25" si="0">35000*J22</f>
        <v>0</v>
      </c>
      <c r="O22" s="387"/>
      <c r="P22" s="387"/>
      <c r="Q22" s="388"/>
    </row>
    <row r="23" spans="1:17" ht="21" x14ac:dyDescent="0.35">
      <c r="A23" s="4">
        <v>3</v>
      </c>
      <c r="B23" s="380">
        <f>'Пр №1'!B24</f>
        <v>0</v>
      </c>
      <c r="C23" s="381"/>
      <c r="D23" s="381"/>
      <c r="E23" s="381"/>
      <c r="F23" s="381"/>
      <c r="G23" s="381"/>
      <c r="H23" s="381"/>
      <c r="I23" s="382"/>
      <c r="J23" s="376">
        <f>'Пр №1'!I24</f>
        <v>0</v>
      </c>
      <c r="K23" s="376"/>
      <c r="L23" s="376"/>
      <c r="M23" s="376"/>
      <c r="N23" s="386">
        <f t="shared" si="0"/>
        <v>0</v>
      </c>
      <c r="O23" s="387"/>
      <c r="P23" s="387"/>
      <c r="Q23" s="388"/>
    </row>
    <row r="24" spans="1:17" ht="21" x14ac:dyDescent="0.35">
      <c r="A24" s="4">
        <v>4</v>
      </c>
      <c r="B24" s="380">
        <f>'Пр №1'!B26</f>
        <v>0</v>
      </c>
      <c r="C24" s="381"/>
      <c r="D24" s="381"/>
      <c r="E24" s="381"/>
      <c r="F24" s="381"/>
      <c r="G24" s="381"/>
      <c r="H24" s="381"/>
      <c r="I24" s="382"/>
      <c r="J24" s="376">
        <f>'Пр №1'!I26</f>
        <v>0</v>
      </c>
      <c r="K24" s="376"/>
      <c r="L24" s="376"/>
      <c r="M24" s="376"/>
      <c r="N24" s="386">
        <f t="shared" si="0"/>
        <v>0</v>
      </c>
      <c r="O24" s="387"/>
      <c r="P24" s="387"/>
      <c r="Q24" s="388"/>
    </row>
    <row r="25" spans="1:17" ht="21" x14ac:dyDescent="0.35">
      <c r="A25" s="4">
        <v>5</v>
      </c>
      <c r="B25" s="380">
        <f>'Пр №1'!B28</f>
        <v>0</v>
      </c>
      <c r="C25" s="381"/>
      <c r="D25" s="381"/>
      <c r="E25" s="381"/>
      <c r="F25" s="381"/>
      <c r="G25" s="381"/>
      <c r="H25" s="381"/>
      <c r="I25" s="382"/>
      <c r="J25" s="376">
        <f>'Пр №1'!I28</f>
        <v>0</v>
      </c>
      <c r="K25" s="376"/>
      <c r="L25" s="376"/>
      <c r="M25" s="376"/>
      <c r="N25" s="386">
        <f t="shared" si="0"/>
        <v>0</v>
      </c>
      <c r="O25" s="387"/>
      <c r="P25" s="387"/>
      <c r="Q25" s="388"/>
    </row>
    <row r="26" spans="1:17" ht="21" x14ac:dyDescent="0.35">
      <c r="A26" s="383" t="s">
        <v>135</v>
      </c>
      <c r="B26" s="384"/>
      <c r="C26" s="384"/>
      <c r="D26" s="384"/>
      <c r="E26" s="384"/>
      <c r="F26" s="384"/>
      <c r="G26" s="384"/>
      <c r="H26" s="384"/>
      <c r="I26" s="384"/>
      <c r="J26" s="384"/>
      <c r="K26" s="384"/>
      <c r="L26" s="384"/>
      <c r="M26" s="385"/>
      <c r="N26" s="326">
        <f>SUM(N21:Q25)</f>
        <v>35000</v>
      </c>
      <c r="O26" s="326"/>
      <c r="P26" s="326"/>
      <c r="Q26" s="326"/>
    </row>
    <row r="27" spans="1:17" ht="21" customHeight="1" x14ac:dyDescent="0.35">
      <c r="A27" s="331" t="s">
        <v>53</v>
      </c>
      <c r="B27" s="331"/>
      <c r="C27" s="331"/>
      <c r="D27" s="331"/>
      <c r="E27" s="331"/>
      <c r="F27" s="331"/>
      <c r="G27" s="331"/>
      <c r="H27" s="331"/>
      <c r="I27" s="331"/>
      <c r="J27" s="331"/>
      <c r="K27" s="331"/>
      <c r="L27" s="331"/>
      <c r="M27" s="331"/>
      <c r="N27" s="331"/>
      <c r="O27" s="331"/>
      <c r="P27" s="331"/>
      <c r="Q27" s="331"/>
    </row>
    <row r="28" spans="1:17" ht="21" x14ac:dyDescent="0.35">
      <c r="A28" s="307" t="s">
        <v>283</v>
      </c>
      <c r="B28" s="307"/>
      <c r="C28" s="307"/>
      <c r="D28" s="307"/>
      <c r="E28" s="307"/>
      <c r="F28" s="307"/>
      <c r="G28" s="307"/>
      <c r="H28" s="307"/>
      <c r="I28" s="307"/>
      <c r="J28" s="307"/>
      <c r="K28" s="307"/>
      <c r="L28" s="307"/>
      <c r="M28" s="307"/>
      <c r="N28" s="307"/>
      <c r="O28" s="307"/>
      <c r="P28" s="307"/>
      <c r="Q28" s="307"/>
    </row>
    <row r="29" spans="1:17" ht="21" x14ac:dyDescent="0.35">
      <c r="A29" s="310" t="s">
        <v>657</v>
      </c>
      <c r="B29" s="310"/>
      <c r="C29" s="310"/>
      <c r="D29" s="310"/>
      <c r="E29" s="310"/>
      <c r="F29" s="310"/>
      <c r="G29" s="310"/>
      <c r="H29" s="310"/>
      <c r="I29" s="310"/>
      <c r="J29" s="310"/>
      <c r="K29" s="310"/>
      <c r="L29" s="310"/>
      <c r="M29" s="310"/>
      <c r="N29" s="310"/>
      <c r="O29" s="341">
        <f>'Пр №1'!P30</f>
        <v>3000</v>
      </c>
      <c r="P29" s="341"/>
      <c r="Q29" s="341"/>
    </row>
    <row r="30" spans="1:17" ht="21" x14ac:dyDescent="0.35">
      <c r="A30" s="307" t="s">
        <v>81</v>
      </c>
      <c r="B30" s="307"/>
      <c r="C30" s="307"/>
      <c r="D30" s="307"/>
      <c r="E30" s="307"/>
      <c r="F30" s="307"/>
      <c r="G30" s="307"/>
      <c r="H30" s="307"/>
      <c r="I30" s="307"/>
      <c r="J30" s="307"/>
      <c r="K30" s="307"/>
      <c r="L30" s="307"/>
      <c r="M30" s="307"/>
      <c r="N30" s="307"/>
      <c r="O30" s="307"/>
      <c r="P30" s="307"/>
      <c r="Q30" s="307"/>
    </row>
    <row r="31" spans="1:17" ht="21" x14ac:dyDescent="0.35">
      <c r="A31" s="307"/>
      <c r="B31" s="307"/>
      <c r="C31" s="307"/>
      <c r="D31" s="307"/>
      <c r="E31" s="307"/>
      <c r="F31" s="307"/>
      <c r="G31" s="307"/>
      <c r="H31" s="307"/>
      <c r="I31" s="307"/>
      <c r="J31" s="307"/>
      <c r="K31" s="307"/>
      <c r="L31" s="307"/>
      <c r="M31" s="307"/>
      <c r="N31" s="307"/>
      <c r="O31" s="307"/>
      <c r="P31" s="307"/>
      <c r="Q31" s="307"/>
    </row>
    <row r="33" spans="1:17" ht="21" x14ac:dyDescent="0.35">
      <c r="A33" s="296" t="s">
        <v>6</v>
      </c>
      <c r="B33" s="296"/>
      <c r="C33" s="296"/>
      <c r="D33" s="296"/>
      <c r="E33" s="296"/>
      <c r="F33" s="296"/>
      <c r="G33" s="296"/>
      <c r="H33" s="296"/>
      <c r="I33" s="296"/>
      <c r="J33" s="296"/>
      <c r="K33" s="296"/>
      <c r="L33" s="296"/>
      <c r="M33" s="296"/>
      <c r="N33" s="296"/>
      <c r="O33" s="296"/>
    </row>
    <row r="34" spans="1:17" ht="21" x14ac:dyDescent="0.35">
      <c r="A34" s="296" t="s">
        <v>45</v>
      </c>
      <c r="B34" s="296"/>
      <c r="C34" s="296"/>
      <c r="D34" s="296"/>
      <c r="E34" s="296"/>
      <c r="F34" s="296"/>
      <c r="G34" s="296"/>
      <c r="H34" s="1"/>
      <c r="I34" s="1"/>
      <c r="J34" s="296" t="s">
        <v>44</v>
      </c>
      <c r="K34" s="296"/>
      <c r="L34" s="296"/>
      <c r="M34" s="296"/>
      <c r="N34" s="296"/>
      <c r="O34" s="296"/>
      <c r="P34" s="296"/>
    </row>
    <row r="35" spans="1:17" ht="21" x14ac:dyDescent="0.35">
      <c r="A35" s="3" t="s">
        <v>10</v>
      </c>
      <c r="B35" s="307" t="str">
        <f>'Пр №1'!B50:G50</f>
        <v>Зинченко Михаил Александрович</v>
      </c>
      <c r="C35" s="307"/>
      <c r="D35" s="307"/>
      <c r="E35" s="307"/>
      <c r="F35" s="307"/>
      <c r="G35" s="307"/>
      <c r="H35" s="3"/>
      <c r="I35" s="3"/>
      <c r="J35" s="307" t="str">
        <f>'Пр №1'!J50:K50</f>
        <v>Ф.И.О.:</v>
      </c>
      <c r="K35" s="307"/>
      <c r="L35" s="307" t="str">
        <f>'Пр №1'!L50:Q50</f>
        <v>{{CLIENT_FULLNAME}}</v>
      </c>
      <c r="M35" s="307"/>
      <c r="N35" s="307"/>
      <c r="O35" s="307"/>
      <c r="P35" s="307"/>
      <c r="Q35" s="307"/>
    </row>
    <row r="36" spans="1:17" ht="21" x14ac:dyDescent="0.35">
      <c r="A36" s="3" t="s">
        <v>28</v>
      </c>
      <c r="B36" s="323">
        <f>'Пр №1'!B51:G51</f>
        <v>22212200650516</v>
      </c>
      <c r="C36" s="323"/>
      <c r="D36" s="323"/>
      <c r="E36" s="323"/>
      <c r="F36" s="323"/>
      <c r="G36" s="323"/>
      <c r="H36" s="3"/>
      <c r="I36" s="12"/>
      <c r="J36" s="323" t="str">
        <f>'Пр №1'!J51:K51</f>
        <v>ПИН:</v>
      </c>
      <c r="K36" s="323"/>
      <c r="L36" s="323" t="str">
        <f>'Пр №1'!L51:P51</f>
        <v>ХХХХ</v>
      </c>
      <c r="M36" s="323"/>
      <c r="N36" s="323"/>
      <c r="O36" s="323"/>
      <c r="P36" s="323"/>
    </row>
    <row r="37" spans="1:17" ht="21" x14ac:dyDescent="0.35">
      <c r="A37" s="307" t="s">
        <v>29</v>
      </c>
      <c r="B37" s="307"/>
      <c r="C37" s="13" t="str">
        <f>'Пр №1'!C52</f>
        <v>ID</v>
      </c>
      <c r="D37" s="13" t="s">
        <v>12</v>
      </c>
      <c r="E37" s="307">
        <f>'Пр №1'!E52:G52</f>
        <v>1706490</v>
      </c>
      <c r="F37" s="307"/>
      <c r="G37" s="307"/>
      <c r="H37" s="3"/>
      <c r="I37" s="3"/>
      <c r="J37" s="307" t="str">
        <f>'Пр №1'!J52:K52</f>
        <v>Паспорт:</v>
      </c>
      <c r="K37" s="307"/>
      <c r="L37" s="13" t="str">
        <f>'Пр №1'!L52</f>
        <v>ХХХ</v>
      </c>
      <c r="M37" s="13" t="s">
        <v>12</v>
      </c>
      <c r="N37" s="307" t="str">
        <f>'Пр №1'!N52:O52</f>
        <v>ХХХХХ</v>
      </c>
      <c r="O37" s="307"/>
      <c r="P37" s="3"/>
    </row>
    <row r="38" spans="1:17" ht="21" x14ac:dyDescent="0.35">
      <c r="A38" s="307" t="s">
        <v>30</v>
      </c>
      <c r="B38" s="307"/>
      <c r="C38" s="307" t="str">
        <f>'Пр №1'!C53:G53</f>
        <v>МКК 211041 от 05.06.2020</v>
      </c>
      <c r="D38" s="307"/>
      <c r="E38" s="307"/>
      <c r="F38" s="307"/>
      <c r="G38" s="307"/>
      <c r="H38" s="16"/>
      <c r="I38" s="3"/>
      <c r="J38" s="307" t="str">
        <f>'Пр №1'!J53:K53</f>
        <v>Выдан:</v>
      </c>
      <c r="K38" s="307"/>
      <c r="L38" s="13" t="str">
        <f>'Пр №1'!L53</f>
        <v>МКК</v>
      </c>
      <c r="M38" s="13" t="str">
        <f>'Пр №1'!M53</f>
        <v>ХХХХ</v>
      </c>
      <c r="N38" s="13" t="str">
        <f>'Пр №1'!N53</f>
        <v>от</v>
      </c>
      <c r="O38" s="374" t="str">
        <f>'Пр №1'!O53</f>
        <v>ХХХХ</v>
      </c>
      <c r="P38" s="292"/>
    </row>
    <row r="39" spans="1:17" ht="21" x14ac:dyDescent="0.35">
      <c r="A39" s="307" t="s">
        <v>31</v>
      </c>
      <c r="B39" s="307"/>
      <c r="C39" s="307" t="str">
        <f>'Пр №1'!C54:G54</f>
        <v>г. Бишкек</v>
      </c>
      <c r="D39" s="307"/>
      <c r="E39" s="307"/>
      <c r="F39" s="307"/>
      <c r="G39" s="307"/>
      <c r="H39" s="11"/>
      <c r="I39" s="3"/>
      <c r="J39" s="307" t="str">
        <f>'Пр №1'!J54:K54</f>
        <v>Адрес:</v>
      </c>
      <c r="K39" s="307"/>
      <c r="L39" s="307" t="str">
        <f>'Пр №1'!L54:Q54</f>
        <v>Чуйская область г. Бишкек</v>
      </c>
      <c r="M39" s="307"/>
      <c r="N39" s="307"/>
      <c r="O39" s="307"/>
      <c r="P39" s="307"/>
      <c r="Q39" s="307"/>
    </row>
    <row r="40" spans="1:17" ht="21" x14ac:dyDescent="0.35">
      <c r="A40" s="307" t="str">
        <f>'Пр №1'!A55:G55</f>
        <v>ул. Ялтинская д. №  56</v>
      </c>
      <c r="B40" s="307"/>
      <c r="C40" s="307"/>
      <c r="D40" s="307"/>
      <c r="E40" s="307"/>
      <c r="F40" s="307"/>
      <c r="G40" s="307"/>
      <c r="H40" s="3"/>
      <c r="I40" s="3"/>
      <c r="J40" s="307" t="str">
        <f>'Пр №1'!J55:P55</f>
        <v>ул. ХХХХХ</v>
      </c>
      <c r="K40" s="307"/>
      <c r="L40" s="307"/>
      <c r="M40" s="307"/>
      <c r="N40" s="307"/>
      <c r="O40" s="307"/>
      <c r="P40" s="307"/>
      <c r="Q40" s="307"/>
    </row>
    <row r="41" spans="1:17" ht="21" x14ac:dyDescent="0.35">
      <c r="A41" s="307" t="s">
        <v>32</v>
      </c>
      <c r="B41" s="307"/>
      <c r="C41" s="307"/>
      <c r="D41" s="307">
        <f>'Пр №1'!D56:G56</f>
        <v>720051</v>
      </c>
      <c r="E41" s="307"/>
      <c r="F41" s="307"/>
      <c r="G41" s="307"/>
      <c r="H41" s="11"/>
      <c r="I41" s="3"/>
      <c r="J41" s="307" t="str">
        <f>'Пр №1'!J56:L56</f>
        <v>Почтовый индекс:</v>
      </c>
      <c r="K41" s="307"/>
      <c r="L41" s="307"/>
      <c r="M41" s="307">
        <f>'Пр №1'!M56:N56</f>
        <v>0</v>
      </c>
      <c r="N41" s="307"/>
      <c r="O41" s="3"/>
      <c r="P41" s="3"/>
    </row>
    <row r="42" spans="1:17" ht="21" x14ac:dyDescent="0.35">
      <c r="A42" s="307" t="s">
        <v>7</v>
      </c>
      <c r="B42" s="307"/>
      <c r="C42" s="307"/>
      <c r="D42" s="307"/>
      <c r="E42" s="307"/>
      <c r="F42" s="307"/>
      <c r="G42" s="307"/>
      <c r="H42" s="3"/>
      <c r="I42" s="3"/>
      <c r="J42" s="307" t="str">
        <f>'Пр №1'!J57:P57</f>
        <v>Банковские реквизиты:</v>
      </c>
      <c r="K42" s="307"/>
      <c r="L42" s="307"/>
      <c r="M42" s="307"/>
      <c r="N42" s="307"/>
      <c r="O42" s="307"/>
      <c r="P42" s="307"/>
    </row>
    <row r="43" spans="1:17" ht="21" x14ac:dyDescent="0.35">
      <c r="A43" s="307" t="str">
        <f>'Пр №1'!A58:G58</f>
        <v>ОАО Комерческий банк Кыргызстан</v>
      </c>
      <c r="B43" s="307"/>
      <c r="C43" s="307"/>
      <c r="D43" s="307"/>
      <c r="E43" s="307"/>
      <c r="F43" s="307"/>
      <c r="G43" s="307"/>
      <c r="H43" s="3"/>
      <c r="I43" s="3"/>
      <c r="J43" s="307">
        <f>'Пр №1'!J58:P58</f>
        <v>0</v>
      </c>
      <c r="K43" s="307"/>
      <c r="L43" s="307"/>
      <c r="M43" s="307"/>
      <c r="N43" s="307"/>
      <c r="O43" s="307"/>
      <c r="P43" s="307"/>
    </row>
    <row r="44" spans="1:17" ht="21" x14ac:dyDescent="0.35">
      <c r="A44" s="3" t="s">
        <v>49</v>
      </c>
      <c r="B44" s="323" t="str">
        <f>'Пр №1'!B59:G59</f>
        <v>"1030120300369929"</v>
      </c>
      <c r="C44" s="323"/>
      <c r="D44" s="323"/>
      <c r="E44" s="323"/>
      <c r="F44" s="323"/>
      <c r="G44" s="323"/>
      <c r="H44" s="3"/>
      <c r="I44" s="3"/>
      <c r="J44" s="3" t="str">
        <f>'Пр №1'!J59</f>
        <v>р/c:</v>
      </c>
      <c r="K44" s="323">
        <f>'Пр №1'!K59:P59</f>
        <v>0</v>
      </c>
      <c r="L44" s="323"/>
      <c r="M44" s="323"/>
      <c r="N44" s="323"/>
      <c r="O44" s="323"/>
      <c r="P44" s="323"/>
    </row>
    <row r="45" spans="1:17" ht="21" x14ac:dyDescent="0.35">
      <c r="A45" s="3" t="s">
        <v>9</v>
      </c>
      <c r="B45" s="307">
        <f>'Пр №1'!B60:G60</f>
        <v>103001</v>
      </c>
      <c r="C45" s="307"/>
      <c r="D45" s="307"/>
      <c r="E45" s="307"/>
      <c r="F45" s="307"/>
      <c r="G45" s="307"/>
      <c r="H45" s="3"/>
      <c r="I45" s="3"/>
      <c r="J45" s="3" t="str">
        <f>'Пр №1'!J60</f>
        <v>БИК:</v>
      </c>
      <c r="K45" s="307">
        <f>'Пр №1'!K60:P60</f>
        <v>0</v>
      </c>
      <c r="L45" s="307"/>
      <c r="M45" s="307"/>
      <c r="N45" s="307"/>
      <c r="O45" s="307"/>
      <c r="P45" s="307"/>
    </row>
    <row r="46" spans="1:17" ht="21" x14ac:dyDescent="0.35">
      <c r="A46" s="307" t="str">
        <f>'Пр №1'!A61:G61</f>
        <v>УГНС 003 Свердловского района</v>
      </c>
      <c r="B46" s="307"/>
      <c r="C46" s="307"/>
      <c r="D46" s="307"/>
      <c r="E46" s="307"/>
      <c r="F46" s="307"/>
      <c r="G46" s="307"/>
      <c r="H46" s="3"/>
      <c r="I46" s="3"/>
      <c r="J46" s="307" t="str">
        <f>'Пр №1'!J61:P61</f>
        <v>УГНС 000</v>
      </c>
      <c r="K46" s="307"/>
      <c r="L46" s="307"/>
      <c r="M46" s="307"/>
      <c r="N46" s="307"/>
      <c r="O46" s="307"/>
      <c r="P46" s="307"/>
    </row>
    <row r="47" spans="1:17" ht="21" x14ac:dyDescent="0.35">
      <c r="A47" s="3" t="str">
        <f>'Пр №1'!A62</f>
        <v>ОКПО:</v>
      </c>
      <c r="B47" s="292">
        <f>'Пр №1'!B62</f>
        <v>32282661</v>
      </c>
      <c r="C47" s="29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7" ht="21" x14ac:dyDescent="0.35">
      <c r="A48" s="292" t="str">
        <f>'Пр №1'!A63:C63</f>
        <v>Зинченко М. А.</v>
      </c>
      <c r="B48" s="292"/>
      <c r="C48" s="292"/>
      <c r="D48" s="292" t="str">
        <f>'Пр №1'!D63:F63</f>
        <v>________________________</v>
      </c>
      <c r="E48" s="292"/>
      <c r="F48" s="292"/>
      <c r="G48" s="3"/>
      <c r="H48" s="3"/>
      <c r="I48" s="3"/>
      <c r="J48" s="292" t="e">
        <f>'Пр №1'!J63:L63</f>
        <v>#VALUE!</v>
      </c>
      <c r="K48" s="292"/>
      <c r="L48" s="292"/>
      <c r="M48" s="307" t="s">
        <v>33</v>
      </c>
      <c r="N48" s="307"/>
      <c r="O48" s="307"/>
      <c r="P48" s="307"/>
    </row>
    <row r="49" spans="1:16" ht="21" x14ac:dyDescent="0.35">
      <c r="A49" s="3"/>
      <c r="B49" s="3"/>
      <c r="C49" s="3"/>
      <c r="D49" s="316" t="str">
        <f>'Пр №1'!D64:F64</f>
        <v>(подпись)</v>
      </c>
      <c r="E49" s="316"/>
      <c r="F49" s="316"/>
      <c r="G49" s="37"/>
      <c r="H49" s="37"/>
      <c r="I49" s="37"/>
      <c r="J49" s="37"/>
      <c r="K49" s="37"/>
      <c r="L49" s="37"/>
      <c r="M49" s="316">
        <f>'Пр №1'!M64:P64</f>
        <v>0</v>
      </c>
      <c r="N49" s="316"/>
      <c r="O49" s="316"/>
      <c r="P49" s="316"/>
    </row>
    <row r="50" spans="1:16" ht="21" x14ac:dyDescent="0.35">
      <c r="A50" s="9" t="str">
        <f>'Пр №1'!A65</f>
        <v xml:space="preserve"> «</v>
      </c>
      <c r="B50" s="15">
        <f ca="1">'Пр №1'!B65</f>
        <v>21</v>
      </c>
      <c r="C50" s="10" t="str">
        <f>'Пр №1'!C65</f>
        <v>»</v>
      </c>
      <c r="D50" s="337" t="str">
        <f ca="1">'Пр №1'!D65:E65</f>
        <v>Ноябрь</v>
      </c>
      <c r="E50" s="337"/>
      <c r="F50" s="10">
        <f ca="1">'Пр №1'!F65</f>
        <v>2025</v>
      </c>
      <c r="G50" s="10" t="str">
        <f>'Пр №1'!G65</f>
        <v>г.</v>
      </c>
      <c r="H50" s="9"/>
      <c r="I50" s="15"/>
      <c r="J50" s="5" t="str">
        <f>A50</f>
        <v xml:space="preserve"> «</v>
      </c>
      <c r="K50" s="5">
        <f ca="1">B50</f>
        <v>21</v>
      </c>
      <c r="L50" s="1" t="str">
        <f>C50</f>
        <v>»</v>
      </c>
      <c r="M50" s="296" t="str">
        <f ca="1">D50</f>
        <v>Ноябрь</v>
      </c>
      <c r="N50" s="296"/>
      <c r="O50" s="1">
        <f ca="1">F50</f>
        <v>2025</v>
      </c>
      <c r="P50" s="1" t="str">
        <f>G50</f>
        <v>г.</v>
      </c>
    </row>
    <row r="51" spans="1:16" ht="21" x14ac:dyDescent="0.35">
      <c r="A51" s="292" t="s">
        <v>26</v>
      </c>
      <c r="B51" s="292"/>
      <c r="C51" s="292" t="str">
        <f>'Пр №1'!C66:G66</f>
        <v xml:space="preserve"> +996 (555) 147 688</v>
      </c>
      <c r="D51" s="292"/>
      <c r="E51" s="292"/>
      <c r="F51" s="292"/>
      <c r="G51" s="292"/>
      <c r="H51" s="3"/>
      <c r="I51" s="3"/>
      <c r="J51" s="292" t="s">
        <v>26</v>
      </c>
      <c r="K51" s="292"/>
      <c r="L51" s="335" t="str">
        <f>'Пр №1'!L66:P66</f>
        <v>{{CLIENT_PHONE}}</v>
      </c>
      <c r="M51" s="335"/>
      <c r="N51" s="335"/>
      <c r="O51" s="335"/>
      <c r="P51" s="335"/>
    </row>
  </sheetData>
  <mergeCells count="113">
    <mergeCell ref="N12:Q12"/>
    <mergeCell ref="H10:Q10"/>
    <mergeCell ref="N13:Q13"/>
    <mergeCell ref="A18:I18"/>
    <mergeCell ref="A13:B13"/>
    <mergeCell ref="L21:M21"/>
    <mergeCell ref="A10:B10"/>
    <mergeCell ref="C10:G10"/>
    <mergeCell ref="H14:Q14"/>
    <mergeCell ref="A14:G14"/>
    <mergeCell ref="A15:B15"/>
    <mergeCell ref="C15:F15"/>
    <mergeCell ref="G15:J15"/>
    <mergeCell ref="K15:P15"/>
    <mergeCell ref="L20:M20"/>
    <mergeCell ref="B6:E6"/>
    <mergeCell ref="L6:M6"/>
    <mergeCell ref="A5:I5"/>
    <mergeCell ref="C13:H13"/>
    <mergeCell ref="A3:Q3"/>
    <mergeCell ref="A4:Q4"/>
    <mergeCell ref="I13:M13"/>
    <mergeCell ref="L25:M25"/>
    <mergeCell ref="B22:I22"/>
    <mergeCell ref="A7:F7"/>
    <mergeCell ref="G7:Q7"/>
    <mergeCell ref="A8:Q8"/>
    <mergeCell ref="A9:Q9"/>
    <mergeCell ref="A11:H11"/>
    <mergeCell ref="I11:Q11"/>
    <mergeCell ref="A12:D12"/>
    <mergeCell ref="A16:Q16"/>
    <mergeCell ref="A17:D17"/>
    <mergeCell ref="A19:O19"/>
    <mergeCell ref="N20:Q20"/>
    <mergeCell ref="N21:Q21"/>
    <mergeCell ref="N22:Q22"/>
    <mergeCell ref="N23:Q23"/>
    <mergeCell ref="G12:H12"/>
    <mergeCell ref="O38:P38"/>
    <mergeCell ref="A28:Q28"/>
    <mergeCell ref="A30:Q30"/>
    <mergeCell ref="J20:K20"/>
    <mergeCell ref="J21:K21"/>
    <mergeCell ref="J22:K22"/>
    <mergeCell ref="J23:K23"/>
    <mergeCell ref="J24:K24"/>
    <mergeCell ref="J25:K25"/>
    <mergeCell ref="B20:I20"/>
    <mergeCell ref="B21:I21"/>
    <mergeCell ref="B23:I23"/>
    <mergeCell ref="B24:I24"/>
    <mergeCell ref="B25:I25"/>
    <mergeCell ref="A29:N29"/>
    <mergeCell ref="A26:M26"/>
    <mergeCell ref="O29:Q29"/>
    <mergeCell ref="N26:Q26"/>
    <mergeCell ref="N24:Q24"/>
    <mergeCell ref="N25:Q25"/>
    <mergeCell ref="L23:M23"/>
    <mergeCell ref="L24:M24"/>
    <mergeCell ref="L22:M22"/>
    <mergeCell ref="A27:Q27"/>
    <mergeCell ref="A33:O33"/>
    <mergeCell ref="J34:P34"/>
    <mergeCell ref="B35:G35"/>
    <mergeCell ref="J35:K35"/>
    <mergeCell ref="L35:Q35"/>
    <mergeCell ref="B36:G36"/>
    <mergeCell ref="J36:K36"/>
    <mergeCell ref="L36:P36"/>
    <mergeCell ref="A34:G34"/>
    <mergeCell ref="A51:B51"/>
    <mergeCell ref="C51:G51"/>
    <mergeCell ref="J51:K51"/>
    <mergeCell ref="L51:P51"/>
    <mergeCell ref="B45:G45"/>
    <mergeCell ref="K45:P45"/>
    <mergeCell ref="A46:G46"/>
    <mergeCell ref="J46:P46"/>
    <mergeCell ref="J48:L48"/>
    <mergeCell ref="M48:P48"/>
    <mergeCell ref="D50:E50"/>
    <mergeCell ref="M50:N50"/>
    <mergeCell ref="A48:C48"/>
    <mergeCell ref="D48:F48"/>
    <mergeCell ref="D49:F49"/>
    <mergeCell ref="M49:P49"/>
    <mergeCell ref="B47:C47"/>
    <mergeCell ref="A31:Q31"/>
    <mergeCell ref="A37:B37"/>
    <mergeCell ref="E37:G37"/>
    <mergeCell ref="J37:K37"/>
    <mergeCell ref="N37:O37"/>
    <mergeCell ref="B44:G44"/>
    <mergeCell ref="K44:P44"/>
    <mergeCell ref="A42:G42"/>
    <mergeCell ref="A43:G43"/>
    <mergeCell ref="A40:G40"/>
    <mergeCell ref="J40:Q40"/>
    <mergeCell ref="A41:C41"/>
    <mergeCell ref="D41:G41"/>
    <mergeCell ref="J41:L41"/>
    <mergeCell ref="M41:N41"/>
    <mergeCell ref="J42:P42"/>
    <mergeCell ref="J43:P43"/>
    <mergeCell ref="A38:B38"/>
    <mergeCell ref="C38:G38"/>
    <mergeCell ref="J38:K38"/>
    <mergeCell ref="A39:B39"/>
    <mergeCell ref="C39:G39"/>
    <mergeCell ref="J39:K39"/>
    <mergeCell ref="L39:Q39"/>
  </mergeCells>
  <pageMargins left="0.34" right="0.28999999999999998" top="0.28000000000000003" bottom="0.56000000000000005" header="0.3" footer="0.3"/>
  <pageSetup paperSize="9" scale="51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>
    <pageSetUpPr fitToPage="1"/>
  </sheetPr>
  <dimension ref="A3:Q77"/>
  <sheetViews>
    <sheetView showZeros="0" topLeftCell="A16" zoomScale="80" zoomScaleNormal="80" workbookViewId="0">
      <selection activeCell="N22" sqref="N22:O23"/>
    </sheetView>
  </sheetViews>
  <sheetFormatPr defaultRowHeight="15" outlineLevelRow="2" x14ac:dyDescent="0.25"/>
  <cols>
    <col min="5" max="5" width="9.140625" customWidth="1"/>
    <col min="6" max="6" width="19" customWidth="1"/>
    <col min="7" max="7" width="17.28515625" customWidth="1"/>
    <col min="8" max="8" width="11" customWidth="1"/>
    <col min="9" max="9" width="10.28515625" customWidth="1"/>
    <col min="10" max="10" width="10.85546875" customWidth="1"/>
    <col min="11" max="11" width="11.42578125" bestFit="1" customWidth="1"/>
    <col min="12" max="12" width="9.28515625" bestFit="1" customWidth="1"/>
    <col min="13" max="13" width="16.140625" bestFit="1" customWidth="1"/>
    <col min="14" max="14" width="12.85546875" bestFit="1" customWidth="1"/>
    <col min="15" max="15" width="11.42578125" customWidth="1"/>
    <col min="16" max="16" width="9.140625" customWidth="1"/>
    <col min="17" max="17" width="14.85546875" customWidth="1"/>
  </cols>
  <sheetData>
    <row r="3" spans="1:17" ht="26.25" x14ac:dyDescent="0.4">
      <c r="A3" s="351" t="s">
        <v>79</v>
      </c>
      <c r="B3" s="351"/>
      <c r="C3" s="351"/>
      <c r="D3" s="351"/>
      <c r="E3" s="351"/>
      <c r="F3" s="351"/>
      <c r="G3" s="351"/>
      <c r="H3" s="351"/>
      <c r="I3" s="351"/>
      <c r="J3" s="351"/>
      <c r="K3" s="351"/>
      <c r="L3" s="351"/>
      <c r="M3" s="351"/>
      <c r="N3" s="351"/>
      <c r="O3" s="351"/>
      <c r="P3" s="351"/>
      <c r="Q3" s="351"/>
    </row>
    <row r="4" spans="1:17" ht="27" thickBot="1" x14ac:dyDescent="0.45">
      <c r="A4" s="351" t="s">
        <v>50</v>
      </c>
      <c r="B4" s="351"/>
      <c r="C4" s="351"/>
      <c r="D4" s="351"/>
      <c r="E4" s="351"/>
      <c r="F4" s="351"/>
      <c r="G4" s="351"/>
      <c r="H4" s="351"/>
      <c r="I4" s="351"/>
      <c r="J4" s="351"/>
      <c r="K4" s="351"/>
      <c r="L4" s="351"/>
      <c r="M4" s="351"/>
      <c r="N4" s="351"/>
      <c r="O4" s="351"/>
      <c r="P4" s="351"/>
      <c r="Q4" s="351"/>
    </row>
    <row r="5" spans="1:17" ht="21.75" thickBot="1" x14ac:dyDescent="0.4">
      <c r="A5" s="356"/>
      <c r="B5" s="356"/>
      <c r="C5" s="356"/>
      <c r="D5" s="356"/>
      <c r="E5" s="356"/>
      <c r="F5" s="356"/>
      <c r="G5" s="356"/>
      <c r="H5" s="356"/>
      <c r="I5" s="356"/>
      <c r="J5" s="5" t="s">
        <v>12</v>
      </c>
      <c r="K5" s="219">
        <f ca="1">'Пр №1'!J3</f>
        <v>21</v>
      </c>
      <c r="L5" s="220">
        <f ca="1">'Пр №1'!K3</f>
        <v>11</v>
      </c>
      <c r="M5" s="220">
        <f ca="1">'Пр №1'!L3</f>
        <v>2025</v>
      </c>
      <c r="N5" s="226">
        <f ca="1">'Пр №1'!M3</f>
        <v>45982.790570370373</v>
      </c>
      <c r="O5" s="227">
        <f>'Акт прием'!O5</f>
        <v>1</v>
      </c>
    </row>
    <row r="6" spans="1:17" ht="21" x14ac:dyDescent="0.35">
      <c r="A6" s="1"/>
      <c r="B6" s="296" t="str">
        <f>Дог.!B13</f>
        <v xml:space="preserve">г. Бишкек </v>
      </c>
      <c r="C6" s="296"/>
      <c r="D6" s="296"/>
      <c r="E6" s="296"/>
      <c r="F6" s="1"/>
      <c r="G6" s="1"/>
      <c r="H6" s="1"/>
      <c r="I6" s="7" t="str">
        <f>'Пр №1'!I5</f>
        <v xml:space="preserve"> «</v>
      </c>
      <c r="J6" s="5">
        <f ca="1">'Пр №1'!J5</f>
        <v>21</v>
      </c>
      <c r="K6" s="1" t="str">
        <f>'Пр №1'!K5</f>
        <v>»</v>
      </c>
      <c r="L6" s="296" t="str">
        <f ca="1">'Пр №1'!L5</f>
        <v>Ноябрь</v>
      </c>
      <c r="M6" s="296"/>
      <c r="N6" s="1">
        <f ca="1">'Пр №1'!N5</f>
        <v>2025</v>
      </c>
      <c r="O6" s="1" t="str">
        <f>'Пр №1'!O5</f>
        <v>г.</v>
      </c>
    </row>
    <row r="7" spans="1:17" ht="21" x14ac:dyDescent="0.35">
      <c r="A7" s="305" t="str">
        <f>'Акт прием'!A7:E7</f>
        <v>Зинченко Михаил Александрович</v>
      </c>
      <c r="B7" s="305"/>
      <c r="C7" s="305"/>
      <c r="D7" s="305"/>
      <c r="E7" s="305"/>
      <c r="F7" s="305"/>
      <c r="G7" s="355" t="str">
        <f>'Акт прием'!G7:Q7</f>
        <v>22.12.2006 года рождения, паспорт: ID3219844 выдан MKK 218011от 12.02.2023 г.</v>
      </c>
      <c r="H7" s="355"/>
      <c r="I7" s="355"/>
      <c r="J7" s="355"/>
      <c r="K7" s="355"/>
      <c r="L7" s="355"/>
      <c r="M7" s="355"/>
      <c r="N7" s="355"/>
      <c r="O7" s="355"/>
      <c r="P7" s="355"/>
      <c r="Q7" s="355"/>
    </row>
    <row r="8" spans="1:17" ht="21" x14ac:dyDescent="0.35">
      <c r="A8" s="353" t="str">
        <f>'Пр №1'!A7:Q7</f>
        <v>зарегистрированный по адресу город Бишкек, улица Ялтинская 56/1, действующий на основании Свидетельства о государственной</v>
      </c>
      <c r="B8" s="353"/>
      <c r="C8" s="353"/>
      <c r="D8" s="353"/>
      <c r="E8" s="353"/>
      <c r="F8" s="353"/>
      <c r="G8" s="353"/>
      <c r="H8" s="353"/>
      <c r="I8" s="353"/>
      <c r="J8" s="353"/>
      <c r="K8" s="353"/>
      <c r="L8" s="353"/>
      <c r="M8" s="353"/>
      <c r="N8" s="353"/>
      <c r="O8" s="353"/>
      <c r="P8" s="353"/>
      <c r="Q8" s="353"/>
    </row>
    <row r="9" spans="1:17" ht="21" x14ac:dyDescent="0.35">
      <c r="A9" s="353" t="str">
        <f>'Пр №1'!A8:Q8</f>
        <v>регистрации индивидуального предпринимателя по Свердловскому району г. Бишкек № 003-2024-169-5930 от 08.08.2024</v>
      </c>
      <c r="B9" s="353"/>
      <c r="C9" s="353"/>
      <c r="D9" s="353"/>
      <c r="E9" s="353"/>
      <c r="F9" s="353"/>
      <c r="G9" s="353"/>
      <c r="H9" s="353"/>
      <c r="I9" s="353"/>
      <c r="J9" s="353"/>
      <c r="K9" s="353"/>
      <c r="L9" s="353"/>
      <c r="M9" s="353"/>
      <c r="N9" s="353"/>
      <c r="O9" s="353"/>
      <c r="P9" s="353"/>
      <c r="Q9" s="353"/>
    </row>
    <row r="10" spans="1:17" ht="21" x14ac:dyDescent="0.25">
      <c r="A10" s="352" t="str">
        <f>'Акт прием'!A10:G10</f>
        <v>ИНН:</v>
      </c>
      <c r="B10" s="352"/>
      <c r="C10" s="303">
        <f>'Пр №1'!C9:G9</f>
        <v>22212200650516</v>
      </c>
      <c r="D10" s="352"/>
      <c r="E10" s="352"/>
      <c r="F10" s="352"/>
      <c r="G10" s="93"/>
      <c r="H10" s="352" t="s">
        <v>84</v>
      </c>
      <c r="I10" s="352"/>
      <c r="J10" s="352"/>
      <c r="K10" s="352"/>
      <c r="L10" s="352"/>
      <c r="M10" s="352"/>
      <c r="N10" s="352"/>
      <c r="O10" s="352"/>
      <c r="P10" s="352"/>
      <c r="Q10" s="352"/>
    </row>
    <row r="11" spans="1:17" ht="21" x14ac:dyDescent="0.35">
      <c r="A11" s="322" t="str">
        <f>Дог.!A18</f>
        <v>{{CLIENT_FULLNAME}}</v>
      </c>
      <c r="B11" s="322"/>
      <c r="C11" s="322"/>
      <c r="D11" s="322"/>
      <c r="E11" s="322"/>
      <c r="F11" s="322"/>
      <c r="G11" s="322"/>
      <c r="H11" s="322"/>
      <c r="I11" s="352" t="s">
        <v>72</v>
      </c>
      <c r="J11" s="352"/>
      <c r="K11" s="352"/>
      <c r="L11" s="352"/>
      <c r="M11" s="352"/>
      <c r="N11" s="352"/>
      <c r="O11" s="352"/>
      <c r="P11" s="352"/>
      <c r="Q11" s="352"/>
    </row>
    <row r="12" spans="1:17" ht="21" x14ac:dyDescent="0.35">
      <c r="A12" s="353" t="str">
        <f>Дог.!A19</f>
        <v xml:space="preserve"> на основании паспорта:</v>
      </c>
      <c r="B12" s="353"/>
      <c r="C12" s="353"/>
      <c r="D12" s="353"/>
      <c r="E12" s="17" t="str">
        <f>Дог.!E19</f>
        <v>ХХХ</v>
      </c>
      <c r="F12" s="17" t="str">
        <f>Дог.!F19</f>
        <v>№</v>
      </c>
      <c r="G12" s="354" t="str">
        <f>Дог.!G19</f>
        <v>ХХХХХ</v>
      </c>
      <c r="H12" s="354"/>
      <c r="I12" s="14" t="str">
        <f>Дог.!I19</f>
        <v>выдан</v>
      </c>
      <c r="J12" s="17" t="str">
        <f>Дог.!J19</f>
        <v>МКК</v>
      </c>
      <c r="K12" s="17" t="str">
        <f>'Пр №1'!K11</f>
        <v>ХХХХ</v>
      </c>
      <c r="L12" s="17" t="str">
        <f>'Пр №1'!L11</f>
        <v>от</v>
      </c>
      <c r="M12" s="100" t="str">
        <f>'Пр №1'!M11</f>
        <v>ХХХХ</v>
      </c>
      <c r="N12" s="353" t="str">
        <f>Дог.!N19</f>
        <v>зарегистрированный(-ая)</v>
      </c>
      <c r="O12" s="353"/>
      <c r="P12" s="353"/>
      <c r="Q12" s="353"/>
    </row>
    <row r="13" spans="1:17" ht="21" x14ac:dyDescent="0.25">
      <c r="A13" s="352" t="s">
        <v>36</v>
      </c>
      <c r="B13" s="352"/>
      <c r="C13" s="299" t="str">
        <f>'Акт прием'!C13:G13</f>
        <v>Чуйская область г. Бишкек</v>
      </c>
      <c r="D13" s="299"/>
      <c r="E13" s="299"/>
      <c r="F13" s="299"/>
      <c r="G13" s="299"/>
      <c r="H13" s="299"/>
      <c r="I13" s="299" t="str">
        <f>'Акт прием'!I13:M13</f>
        <v>ул. ХХХХХ</v>
      </c>
      <c r="J13" s="299"/>
      <c r="K13" s="299"/>
      <c r="L13" s="299"/>
      <c r="M13" s="299"/>
      <c r="N13" s="352" t="s">
        <v>37</v>
      </c>
      <c r="O13" s="352"/>
      <c r="P13" s="352"/>
      <c r="Q13" s="352"/>
    </row>
    <row r="14" spans="1:17" ht="21" x14ac:dyDescent="0.25">
      <c r="A14" s="299" t="str">
        <f>'Акт прием'!A14:E14</f>
        <v>Чуйская область г. Бишкек</v>
      </c>
      <c r="B14" s="299"/>
      <c r="C14" s="299"/>
      <c r="D14" s="299"/>
      <c r="E14" s="299"/>
      <c r="F14" s="299"/>
      <c r="G14" s="299"/>
      <c r="H14" s="299" t="str">
        <f>'Пр №1'!H13:Q13</f>
        <v>ул. ХХХХХ</v>
      </c>
      <c r="I14" s="299"/>
      <c r="J14" s="299"/>
      <c r="K14" s="299"/>
      <c r="L14" s="299"/>
      <c r="M14" s="299"/>
      <c r="N14" s="299"/>
      <c r="O14" s="299"/>
      <c r="P14" s="299"/>
      <c r="Q14" s="299"/>
    </row>
    <row r="15" spans="1:17" ht="21" x14ac:dyDescent="0.25">
      <c r="A15" s="299" t="s">
        <v>252</v>
      </c>
      <c r="B15" s="299"/>
      <c r="C15" s="304" t="str">
        <f>'Пр №1'!C14:F14</f>
        <v>ХХХХ</v>
      </c>
      <c r="D15" s="304"/>
      <c r="E15" s="304"/>
      <c r="F15" s="304"/>
      <c r="G15" s="299" t="s">
        <v>39</v>
      </c>
      <c r="H15" s="299"/>
      <c r="I15" s="299"/>
      <c r="J15" s="299"/>
      <c r="K15" s="299">
        <f>'Пр №1'!K14:P14</f>
        <v>0</v>
      </c>
      <c r="L15" s="299"/>
      <c r="M15" s="299"/>
      <c r="N15" s="299"/>
      <c r="O15" s="299"/>
      <c r="P15" s="299"/>
      <c r="Q15" s="20"/>
    </row>
    <row r="16" spans="1:17" ht="21.75" thickBot="1" x14ac:dyDescent="0.4">
      <c r="A16" s="307" t="s">
        <v>550</v>
      </c>
      <c r="B16" s="307"/>
      <c r="C16" s="307"/>
      <c r="D16" s="307"/>
      <c r="E16" s="307"/>
      <c r="F16" s="307"/>
      <c r="G16" s="307"/>
      <c r="H16" s="307"/>
      <c r="I16" s="307"/>
      <c r="J16" s="307"/>
      <c r="K16" s="307"/>
      <c r="L16" s="307"/>
      <c r="M16" s="307"/>
      <c r="N16" s="307"/>
      <c r="O16" s="307"/>
      <c r="P16" s="307"/>
      <c r="Q16" s="307"/>
    </row>
    <row r="17" spans="1:17" ht="21.75" thickBot="1" x14ac:dyDescent="0.4">
      <c r="A17" s="311" t="s">
        <v>51</v>
      </c>
      <c r="B17" s="311"/>
      <c r="C17" s="311"/>
      <c r="D17" s="311"/>
      <c r="E17" s="311"/>
      <c r="F17" s="311"/>
      <c r="G17" s="311"/>
      <c r="H17" s="311"/>
      <c r="I17" s="311"/>
      <c r="J17" s="5" t="s">
        <v>12</v>
      </c>
      <c r="K17" s="219">
        <f ca="1">K5</f>
        <v>21</v>
      </c>
      <c r="L17" s="220">
        <f ca="1">L5</f>
        <v>11</v>
      </c>
      <c r="M17" s="220">
        <f ca="1">M5</f>
        <v>2025</v>
      </c>
      <c r="N17" s="226">
        <f ca="1">N5</f>
        <v>45982.790570370373</v>
      </c>
      <c r="O17" s="227">
        <f>O5</f>
        <v>1</v>
      </c>
    </row>
    <row r="18" spans="1:17" ht="21" x14ac:dyDescent="0.35">
      <c r="A18" s="307" t="s">
        <v>421</v>
      </c>
      <c r="B18" s="307"/>
      <c r="C18" s="307"/>
      <c r="D18" s="307"/>
      <c r="E18" s="307"/>
      <c r="F18" s="307"/>
      <c r="G18" s="307"/>
      <c r="H18" s="307"/>
      <c r="I18" s="307"/>
      <c r="J18" s="307"/>
      <c r="K18" s="307"/>
      <c r="L18" s="307"/>
      <c r="M18" s="307"/>
      <c r="N18" s="307"/>
      <c r="O18" s="307"/>
      <c r="P18" s="307"/>
      <c r="Q18" s="307"/>
    </row>
    <row r="19" spans="1:17" ht="65.25" customHeight="1" x14ac:dyDescent="0.25">
      <c r="A19" s="25" t="s">
        <v>12</v>
      </c>
      <c r="B19" s="389" t="s">
        <v>371</v>
      </c>
      <c r="C19" s="390"/>
      <c r="D19" s="390"/>
      <c r="E19" s="390"/>
      <c r="F19" s="96" t="str">
        <f>'Пр №1'!J19</f>
        <v>Дата и время выдачи   Имущества</v>
      </c>
      <c r="G19" s="95" t="str">
        <f>'Акт возв'!J20</f>
        <v>Дата и время возврата</v>
      </c>
      <c r="H19" s="392" t="s">
        <v>321</v>
      </c>
      <c r="I19" s="392"/>
      <c r="J19" s="392" t="s">
        <v>369</v>
      </c>
      <c r="K19" s="392"/>
      <c r="L19" s="96" t="s">
        <v>69</v>
      </c>
      <c r="M19" s="25" t="s">
        <v>319</v>
      </c>
      <c r="N19" s="375" t="s">
        <v>61</v>
      </c>
      <c r="O19" s="375"/>
      <c r="P19" s="375" t="s">
        <v>68</v>
      </c>
      <c r="Q19" s="375"/>
    </row>
    <row r="20" spans="1:17" ht="21" customHeight="1" x14ac:dyDescent="0.25">
      <c r="A20" s="423">
        <v>1</v>
      </c>
      <c r="B20" s="425" t="str">
        <f>'Пр №1'!B20</f>
        <v>{{TOOL_NAME}}</v>
      </c>
      <c r="C20" s="426"/>
      <c r="D20" s="426"/>
      <c r="E20" s="427"/>
      <c r="F20" s="124">
        <f ca="1">'Пр №1'!J20</f>
        <v>45982.790570370373</v>
      </c>
      <c r="G20" s="124"/>
      <c r="H20" s="447">
        <f ca="1">'Пр №1'!J20</f>
        <v>45982.790570370373</v>
      </c>
      <c r="I20" s="447"/>
      <c r="J20" s="431">
        <f>'Пр №1'!I20</f>
        <v>1</v>
      </c>
      <c r="K20" s="432"/>
      <c r="L20" s="445">
        <f ca="1">H21-F21</f>
        <v>0</v>
      </c>
      <c r="M20" s="432" t="s">
        <v>320</v>
      </c>
      <c r="N20" s="437">
        <f>'Пр №1'!N20</f>
        <v>1500</v>
      </c>
      <c r="O20" s="438"/>
      <c r="P20" s="441">
        <f ca="1">J20*L20*N20</f>
        <v>0</v>
      </c>
      <c r="Q20" s="442"/>
    </row>
    <row r="21" spans="1:17" ht="21" customHeight="1" x14ac:dyDescent="0.25">
      <c r="A21" s="424"/>
      <c r="B21" s="428"/>
      <c r="C21" s="429"/>
      <c r="D21" s="429"/>
      <c r="E21" s="430"/>
      <c r="F21" s="88">
        <f ca="1">'Пр №1'!J21</f>
        <v>45982</v>
      </c>
      <c r="G21" s="88"/>
      <c r="H21" s="448">
        <f ca="1">'Пр №1'!J21</f>
        <v>45982</v>
      </c>
      <c r="I21" s="448"/>
      <c r="J21" s="433"/>
      <c r="K21" s="434"/>
      <c r="L21" s="445"/>
      <c r="M21" s="434"/>
      <c r="N21" s="461"/>
      <c r="O21" s="462"/>
      <c r="P21" s="443"/>
      <c r="Q21" s="444"/>
    </row>
    <row r="22" spans="1:17" ht="21" customHeight="1" x14ac:dyDescent="0.25">
      <c r="A22" s="423">
        <v>2</v>
      </c>
      <c r="B22" s="425">
        <f>'Пр №1'!B22:E23</f>
        <v>0</v>
      </c>
      <c r="C22" s="426"/>
      <c r="D22" s="426"/>
      <c r="E22" s="427"/>
      <c r="F22" s="124"/>
      <c r="G22" s="124"/>
      <c r="H22" s="447"/>
      <c r="I22" s="447"/>
      <c r="J22" s="431">
        <f>'Пр №1'!I22</f>
        <v>0</v>
      </c>
      <c r="K22" s="432"/>
      <c r="L22" s="445">
        <f t="shared" ref="L22" si="0">H23-F23</f>
        <v>0</v>
      </c>
      <c r="M22" s="432"/>
      <c r="N22" s="437"/>
      <c r="O22" s="438"/>
      <c r="P22" s="441">
        <f t="shared" ref="P22" si="1">J22*L22*N22</f>
        <v>0</v>
      </c>
      <c r="Q22" s="442"/>
    </row>
    <row r="23" spans="1:17" ht="21" customHeight="1" x14ac:dyDescent="0.25">
      <c r="A23" s="424"/>
      <c r="B23" s="428"/>
      <c r="C23" s="429"/>
      <c r="D23" s="429"/>
      <c r="E23" s="430"/>
      <c r="F23" s="88"/>
      <c r="G23" s="88"/>
      <c r="H23" s="448"/>
      <c r="I23" s="448"/>
      <c r="J23" s="433"/>
      <c r="K23" s="434"/>
      <c r="L23" s="445"/>
      <c r="M23" s="434"/>
      <c r="N23" s="461"/>
      <c r="O23" s="462"/>
      <c r="P23" s="443"/>
      <c r="Q23" s="444"/>
    </row>
    <row r="24" spans="1:17" ht="21" customHeight="1" x14ac:dyDescent="0.25">
      <c r="A24" s="423">
        <v>3</v>
      </c>
      <c r="B24" s="425">
        <f>'Пр №1'!B24:E25</f>
        <v>0</v>
      </c>
      <c r="C24" s="426"/>
      <c r="D24" s="426"/>
      <c r="E24" s="427"/>
      <c r="F24" s="124"/>
      <c r="G24" s="124"/>
      <c r="H24" s="447"/>
      <c r="I24" s="447"/>
      <c r="J24" s="431">
        <f>'Пр №1'!I24</f>
        <v>0</v>
      </c>
      <c r="K24" s="432"/>
      <c r="L24" s="445">
        <f t="shared" ref="L24" si="2">H25-F25</f>
        <v>0</v>
      </c>
      <c r="M24" s="432"/>
      <c r="N24" s="437"/>
      <c r="O24" s="438"/>
      <c r="P24" s="441">
        <f t="shared" ref="P24" si="3">J24*L24*N24</f>
        <v>0</v>
      </c>
      <c r="Q24" s="442"/>
    </row>
    <row r="25" spans="1:17" ht="21" customHeight="1" x14ac:dyDescent="0.25">
      <c r="A25" s="424"/>
      <c r="B25" s="428"/>
      <c r="C25" s="429"/>
      <c r="D25" s="429"/>
      <c r="E25" s="430"/>
      <c r="F25" s="88"/>
      <c r="G25" s="88"/>
      <c r="H25" s="448"/>
      <c r="I25" s="448"/>
      <c r="J25" s="433"/>
      <c r="K25" s="434"/>
      <c r="L25" s="445"/>
      <c r="M25" s="434"/>
      <c r="N25" s="461"/>
      <c r="O25" s="462"/>
      <c r="P25" s="443"/>
      <c r="Q25" s="444"/>
    </row>
    <row r="26" spans="1:17" ht="21" customHeight="1" x14ac:dyDescent="0.25">
      <c r="A26" s="423">
        <v>4</v>
      </c>
      <c r="B26" s="425">
        <f>'Пр №1'!B26:E27</f>
        <v>0</v>
      </c>
      <c r="C26" s="426"/>
      <c r="D26" s="426"/>
      <c r="E26" s="427"/>
      <c r="F26" s="124"/>
      <c r="G26" s="124"/>
      <c r="H26" s="447"/>
      <c r="I26" s="447"/>
      <c r="J26" s="431">
        <f>'Пр №1'!I26</f>
        <v>0</v>
      </c>
      <c r="K26" s="432"/>
      <c r="L26" s="445">
        <f t="shared" ref="L26" si="4">H27-F27</f>
        <v>0</v>
      </c>
      <c r="M26" s="432"/>
      <c r="N26" s="437"/>
      <c r="O26" s="438"/>
      <c r="P26" s="441">
        <f t="shared" ref="P26" si="5">J26*L26*N26</f>
        <v>0</v>
      </c>
      <c r="Q26" s="442"/>
    </row>
    <row r="27" spans="1:17" ht="21" customHeight="1" x14ac:dyDescent="0.25">
      <c r="A27" s="424"/>
      <c r="B27" s="428"/>
      <c r="C27" s="429"/>
      <c r="D27" s="429"/>
      <c r="E27" s="430"/>
      <c r="F27" s="88"/>
      <c r="G27" s="88"/>
      <c r="H27" s="448"/>
      <c r="I27" s="448"/>
      <c r="J27" s="433"/>
      <c r="K27" s="434"/>
      <c r="L27" s="445"/>
      <c r="M27" s="434"/>
      <c r="N27" s="461"/>
      <c r="O27" s="462"/>
      <c r="P27" s="443"/>
      <c r="Q27" s="444"/>
    </row>
    <row r="28" spans="1:17" ht="21" customHeight="1" x14ac:dyDescent="0.25">
      <c r="A28" s="423">
        <v>5</v>
      </c>
      <c r="B28" s="425">
        <f>'Пр №1'!B28:E29</f>
        <v>0</v>
      </c>
      <c r="C28" s="426"/>
      <c r="D28" s="426"/>
      <c r="E28" s="427"/>
      <c r="F28" s="124"/>
      <c r="G28" s="124"/>
      <c r="H28" s="447"/>
      <c r="I28" s="447"/>
      <c r="J28" s="431">
        <f>'Пр №1'!I28</f>
        <v>0</v>
      </c>
      <c r="K28" s="432"/>
      <c r="L28" s="445">
        <f t="shared" ref="L28:L38" si="6">H29-F29</f>
        <v>0</v>
      </c>
      <c r="M28" s="432"/>
      <c r="N28" s="437"/>
      <c r="O28" s="438"/>
      <c r="P28" s="441">
        <f t="shared" ref="P28" si="7">J28*L28*N28</f>
        <v>0</v>
      </c>
      <c r="Q28" s="442"/>
    </row>
    <row r="29" spans="1:17" ht="21" customHeight="1" x14ac:dyDescent="0.25">
      <c r="A29" s="424"/>
      <c r="B29" s="428"/>
      <c r="C29" s="429"/>
      <c r="D29" s="429"/>
      <c r="E29" s="430"/>
      <c r="F29" s="88"/>
      <c r="G29" s="88"/>
      <c r="H29" s="448"/>
      <c r="I29" s="448"/>
      <c r="J29" s="433"/>
      <c r="K29" s="434"/>
      <c r="L29" s="445"/>
      <c r="M29" s="434"/>
      <c r="N29" s="461"/>
      <c r="O29" s="462"/>
      <c r="P29" s="443"/>
      <c r="Q29" s="444"/>
    </row>
    <row r="30" spans="1:17" ht="21" customHeight="1" x14ac:dyDescent="0.25">
      <c r="A30" s="423">
        <v>6</v>
      </c>
      <c r="B30" s="425"/>
      <c r="C30" s="426"/>
      <c r="D30" s="426"/>
      <c r="E30" s="427"/>
      <c r="F30" s="124"/>
      <c r="G30" s="124"/>
      <c r="H30" s="447"/>
      <c r="I30" s="447"/>
      <c r="J30" s="431"/>
      <c r="K30" s="432"/>
      <c r="L30" s="445">
        <f t="shared" si="6"/>
        <v>0</v>
      </c>
      <c r="M30" s="432"/>
      <c r="N30" s="437"/>
      <c r="O30" s="438"/>
      <c r="P30" s="441">
        <f t="shared" ref="P30" si="8">J30*L30*N30</f>
        <v>0</v>
      </c>
      <c r="Q30" s="442"/>
    </row>
    <row r="31" spans="1:17" ht="21" customHeight="1" x14ac:dyDescent="0.25">
      <c r="A31" s="424"/>
      <c r="B31" s="428"/>
      <c r="C31" s="429"/>
      <c r="D31" s="429"/>
      <c r="E31" s="430"/>
      <c r="F31" s="88"/>
      <c r="G31" s="88"/>
      <c r="H31" s="448"/>
      <c r="I31" s="448"/>
      <c r="J31" s="433"/>
      <c r="K31" s="434"/>
      <c r="L31" s="445"/>
      <c r="M31" s="434"/>
      <c r="N31" s="461"/>
      <c r="O31" s="462"/>
      <c r="P31" s="443"/>
      <c r="Q31" s="444"/>
    </row>
    <row r="32" spans="1:17" ht="21" customHeight="1" x14ac:dyDescent="0.25">
      <c r="A32" s="423">
        <v>7</v>
      </c>
      <c r="B32" s="425"/>
      <c r="C32" s="426"/>
      <c r="D32" s="426"/>
      <c r="E32" s="427"/>
      <c r="F32" s="124"/>
      <c r="G32" s="124"/>
      <c r="H32" s="447"/>
      <c r="I32" s="447"/>
      <c r="J32" s="431"/>
      <c r="K32" s="432"/>
      <c r="L32" s="445">
        <f t="shared" si="6"/>
        <v>0</v>
      </c>
      <c r="M32" s="432"/>
      <c r="N32" s="437"/>
      <c r="O32" s="438"/>
      <c r="P32" s="441">
        <f t="shared" ref="P32" si="9">J32*L32*N32</f>
        <v>0</v>
      </c>
      <c r="Q32" s="442"/>
    </row>
    <row r="33" spans="1:17" ht="21" customHeight="1" x14ac:dyDescent="0.25">
      <c r="A33" s="424"/>
      <c r="B33" s="428"/>
      <c r="C33" s="429"/>
      <c r="D33" s="429"/>
      <c r="E33" s="430"/>
      <c r="F33" s="88"/>
      <c r="G33" s="88"/>
      <c r="H33" s="448"/>
      <c r="I33" s="448"/>
      <c r="J33" s="433"/>
      <c r="K33" s="434"/>
      <c r="L33" s="445"/>
      <c r="M33" s="434"/>
      <c r="N33" s="461"/>
      <c r="O33" s="462"/>
      <c r="P33" s="443"/>
      <c r="Q33" s="444"/>
    </row>
    <row r="34" spans="1:17" ht="21" customHeight="1" x14ac:dyDescent="0.25">
      <c r="A34" s="423">
        <v>8</v>
      </c>
      <c r="B34" s="425"/>
      <c r="C34" s="426"/>
      <c r="D34" s="426"/>
      <c r="E34" s="427"/>
      <c r="F34" s="124"/>
      <c r="G34" s="124"/>
      <c r="H34" s="447"/>
      <c r="I34" s="447"/>
      <c r="J34" s="431"/>
      <c r="K34" s="432"/>
      <c r="L34" s="445">
        <f t="shared" si="6"/>
        <v>0</v>
      </c>
      <c r="M34" s="432"/>
      <c r="N34" s="437"/>
      <c r="O34" s="438"/>
      <c r="P34" s="441">
        <f t="shared" ref="P34" si="10">J34*L34*N34</f>
        <v>0</v>
      </c>
      <c r="Q34" s="442"/>
    </row>
    <row r="35" spans="1:17" ht="21" customHeight="1" x14ac:dyDescent="0.25">
      <c r="A35" s="424"/>
      <c r="B35" s="428"/>
      <c r="C35" s="429"/>
      <c r="D35" s="429"/>
      <c r="E35" s="430"/>
      <c r="F35" s="88"/>
      <c r="G35" s="88"/>
      <c r="H35" s="448"/>
      <c r="I35" s="448"/>
      <c r="J35" s="433"/>
      <c r="K35" s="434"/>
      <c r="L35" s="445"/>
      <c r="M35" s="434"/>
      <c r="N35" s="461"/>
      <c r="O35" s="462"/>
      <c r="P35" s="443"/>
      <c r="Q35" s="444"/>
    </row>
    <row r="36" spans="1:17" ht="21" customHeight="1" x14ac:dyDescent="0.25">
      <c r="A36" s="423">
        <v>9</v>
      </c>
      <c r="B36" s="425"/>
      <c r="C36" s="426"/>
      <c r="D36" s="426"/>
      <c r="E36" s="427"/>
      <c r="F36" s="124"/>
      <c r="G36" s="124"/>
      <c r="H36" s="447"/>
      <c r="I36" s="447"/>
      <c r="J36" s="431"/>
      <c r="K36" s="432"/>
      <c r="L36" s="445">
        <f t="shared" si="6"/>
        <v>0</v>
      </c>
      <c r="M36" s="432"/>
      <c r="N36" s="437"/>
      <c r="O36" s="438"/>
      <c r="P36" s="441">
        <f t="shared" ref="P36" si="11">J36*L36*N36</f>
        <v>0</v>
      </c>
      <c r="Q36" s="442"/>
    </row>
    <row r="37" spans="1:17" ht="21" customHeight="1" x14ac:dyDescent="0.25">
      <c r="A37" s="424"/>
      <c r="B37" s="428"/>
      <c r="C37" s="429"/>
      <c r="D37" s="429"/>
      <c r="E37" s="430"/>
      <c r="F37" s="88"/>
      <c r="G37" s="88"/>
      <c r="H37" s="448"/>
      <c r="I37" s="448"/>
      <c r="J37" s="433"/>
      <c r="K37" s="434"/>
      <c r="L37" s="445"/>
      <c r="M37" s="434"/>
      <c r="N37" s="461"/>
      <c r="O37" s="462"/>
      <c r="P37" s="443"/>
      <c r="Q37" s="444"/>
    </row>
    <row r="38" spans="1:17" ht="21" customHeight="1" x14ac:dyDescent="0.25">
      <c r="A38" s="423">
        <v>10</v>
      </c>
      <c r="B38" s="425"/>
      <c r="C38" s="426"/>
      <c r="D38" s="426"/>
      <c r="E38" s="427"/>
      <c r="F38" s="124"/>
      <c r="G38" s="124"/>
      <c r="H38" s="447"/>
      <c r="I38" s="447"/>
      <c r="J38" s="431"/>
      <c r="K38" s="432"/>
      <c r="L38" s="445">
        <f t="shared" si="6"/>
        <v>0</v>
      </c>
      <c r="M38" s="432"/>
      <c r="N38" s="437"/>
      <c r="O38" s="438"/>
      <c r="P38" s="441">
        <f t="shared" ref="P38" si="12">J38*L38*N38</f>
        <v>0</v>
      </c>
      <c r="Q38" s="442"/>
    </row>
    <row r="39" spans="1:17" ht="21" customHeight="1" thickBot="1" x14ac:dyDescent="0.3">
      <c r="A39" s="457"/>
      <c r="B39" s="458"/>
      <c r="C39" s="459"/>
      <c r="D39" s="459"/>
      <c r="E39" s="460"/>
      <c r="F39" s="88"/>
      <c r="G39" s="88"/>
      <c r="H39" s="448"/>
      <c r="I39" s="448"/>
      <c r="J39" s="435"/>
      <c r="K39" s="436"/>
      <c r="L39" s="446"/>
      <c r="M39" s="436"/>
      <c r="N39" s="439"/>
      <c r="O39" s="440"/>
      <c r="P39" s="443"/>
      <c r="Q39" s="444"/>
    </row>
    <row r="40" spans="1:17" ht="21" customHeight="1" x14ac:dyDescent="0.25">
      <c r="A40" s="477"/>
      <c r="B40" s="478"/>
      <c r="C40" s="478"/>
      <c r="D40" s="478"/>
      <c r="E40" s="478"/>
      <c r="F40" s="478"/>
      <c r="G40" s="478"/>
      <c r="H40" s="478"/>
      <c r="I40" s="478"/>
      <c r="J40" s="481" t="s">
        <v>693</v>
      </c>
      <c r="K40" s="482"/>
      <c r="L40" s="483"/>
      <c r="M40" s="244">
        <f ca="1">'Пр №1'!J21</f>
        <v>45982</v>
      </c>
      <c r="N40" s="410" t="s">
        <v>62</v>
      </c>
      <c r="O40" s="411"/>
      <c r="P40" s="412">
        <f ca="1">SUM(P20:Q39)</f>
        <v>0</v>
      </c>
      <c r="Q40" s="413"/>
    </row>
    <row r="41" spans="1:17" ht="21" customHeight="1" thickBot="1" x14ac:dyDescent="0.3">
      <c r="A41" s="479"/>
      <c r="B41" s="480"/>
      <c r="C41" s="480"/>
      <c r="D41" s="480"/>
      <c r="E41" s="480"/>
      <c r="F41" s="480"/>
      <c r="G41" s="480"/>
      <c r="H41" s="480"/>
      <c r="I41" s="480"/>
      <c r="J41" s="484" t="s">
        <v>692</v>
      </c>
      <c r="K41" s="485"/>
      <c r="L41" s="485"/>
      <c r="M41" s="245">
        <f ca="1">Обяз!K22</f>
        <v>45985</v>
      </c>
      <c r="N41" s="394" t="s">
        <v>542</v>
      </c>
      <c r="O41" s="395"/>
      <c r="P41" s="396">
        <f>'Пр №1'!P30:Q30</f>
        <v>3000</v>
      </c>
      <c r="Q41" s="397"/>
    </row>
    <row r="42" spans="1:17" ht="21" hidden="1" customHeight="1" outlineLevel="1" thickBot="1" x14ac:dyDescent="0.4">
      <c r="A42" s="54" t="s">
        <v>12</v>
      </c>
      <c r="B42" s="414" t="s">
        <v>366</v>
      </c>
      <c r="C42" s="415"/>
      <c r="D42" s="415"/>
      <c r="E42" s="415"/>
      <c r="F42" s="415"/>
      <c r="G42" s="415"/>
      <c r="H42" s="415"/>
      <c r="I42" s="415"/>
      <c r="J42" s="416"/>
      <c r="K42" s="417"/>
      <c r="L42" s="398" t="s">
        <v>526</v>
      </c>
      <c r="M42" s="398"/>
      <c r="N42" s="408" t="s">
        <v>69</v>
      </c>
      <c r="O42" s="409"/>
      <c r="P42" s="406"/>
      <c r="Q42" s="407"/>
    </row>
    <row r="43" spans="1:17" ht="21" hidden="1" customHeight="1" outlineLevel="2" thickBot="1" x14ac:dyDescent="0.4">
      <c r="A43" s="235">
        <v>1</v>
      </c>
      <c r="B43" s="418" t="s">
        <v>365</v>
      </c>
      <c r="C43" s="419"/>
      <c r="D43" s="419"/>
      <c r="E43" s="419"/>
      <c r="F43" s="419"/>
      <c r="G43" s="419"/>
      <c r="H43" s="419"/>
      <c r="I43" s="419"/>
      <c r="J43" s="419"/>
      <c r="K43" s="420"/>
      <c r="L43" s="486" t="s">
        <v>695</v>
      </c>
      <c r="M43" s="486"/>
      <c r="N43" s="401">
        <f ca="1">'Пр №1'!J21</f>
        <v>45982</v>
      </c>
      <c r="O43" s="402"/>
      <c r="P43" s="393"/>
      <c r="Q43" s="393"/>
    </row>
    <row r="44" spans="1:17" ht="21" hidden="1" customHeight="1" outlineLevel="2" thickBot="1" x14ac:dyDescent="0.4">
      <c r="A44" s="28">
        <v>2</v>
      </c>
      <c r="B44" s="451" t="s">
        <v>386</v>
      </c>
      <c r="C44" s="452"/>
      <c r="D44" s="452"/>
      <c r="E44" s="452"/>
      <c r="F44" s="452"/>
      <c r="G44" s="452"/>
      <c r="H44" s="452"/>
      <c r="I44" s="452"/>
      <c r="J44" s="453"/>
      <c r="K44" s="454"/>
      <c r="L44" s="455" t="s">
        <v>64</v>
      </c>
      <c r="M44" s="456"/>
      <c r="N44" s="449"/>
      <c r="O44" s="450"/>
      <c r="P44" s="403">
        <f>'Акт прием'!N21*1%*N44</f>
        <v>0</v>
      </c>
      <c r="Q44" s="404"/>
    </row>
    <row r="45" spans="1:17" ht="21" hidden="1" customHeight="1" outlineLevel="2" thickBot="1" x14ac:dyDescent="0.4">
      <c r="A45" s="28">
        <v>3</v>
      </c>
      <c r="B45" s="421" t="s">
        <v>364</v>
      </c>
      <c r="C45" s="422"/>
      <c r="D45" s="422"/>
      <c r="E45" s="422"/>
      <c r="F45" s="422"/>
      <c r="G45" s="422"/>
      <c r="H45" s="422"/>
      <c r="I45" s="422"/>
      <c r="J45" s="422"/>
      <c r="K45" s="399"/>
      <c r="L45" s="399" t="s">
        <v>694</v>
      </c>
      <c r="M45" s="400"/>
      <c r="N45" s="401">
        <f ca="1">Обяз!K22</f>
        <v>45985</v>
      </c>
      <c r="O45" s="402"/>
      <c r="P45" s="405"/>
      <c r="Q45" s="405"/>
    </row>
    <row r="46" spans="1:17" ht="21" hidden="1" customHeight="1" outlineLevel="2" thickBot="1" x14ac:dyDescent="0.3">
      <c r="A46" s="28">
        <v>4</v>
      </c>
      <c r="B46" s="451" t="s">
        <v>363</v>
      </c>
      <c r="C46" s="452"/>
      <c r="D46" s="452"/>
      <c r="E46" s="452"/>
      <c r="F46" s="452"/>
      <c r="G46" s="452"/>
      <c r="H46" s="452"/>
      <c r="I46" s="452"/>
      <c r="J46" s="465"/>
      <c r="K46" s="466"/>
      <c r="L46" s="468" t="s">
        <v>64</v>
      </c>
      <c r="M46" s="455"/>
      <c r="N46" s="469"/>
      <c r="O46" s="470"/>
      <c r="P46" s="403">
        <f>'Акт прием'!N21*1%*N46</f>
        <v>0</v>
      </c>
      <c r="Q46" s="404"/>
    </row>
    <row r="47" spans="1:17" ht="21" hidden="1" customHeight="1" outlineLevel="2" thickBot="1" x14ac:dyDescent="0.3">
      <c r="A47" s="28">
        <v>5</v>
      </c>
      <c r="B47" s="467" t="s">
        <v>525</v>
      </c>
      <c r="C47" s="467"/>
      <c r="D47" s="467"/>
      <c r="E47" s="467"/>
      <c r="F47" s="467"/>
      <c r="G47" s="467"/>
      <c r="H47" s="467"/>
      <c r="I47" s="467"/>
      <c r="J47" s="467"/>
      <c r="K47" s="467"/>
      <c r="L47" s="468" t="s">
        <v>524</v>
      </c>
      <c r="M47" s="455"/>
      <c r="N47" s="469"/>
      <c r="O47" s="470"/>
      <c r="P47" s="471">
        <f ca="1">(P40-P41)*1%*N47</f>
        <v>0</v>
      </c>
      <c r="Q47" s="472"/>
    </row>
    <row r="48" spans="1:17" ht="21" customHeight="1" collapsed="1" x14ac:dyDescent="0.25">
      <c r="A48" s="28"/>
      <c r="B48" s="473" t="s">
        <v>136</v>
      </c>
      <c r="C48" s="474"/>
      <c r="D48" s="474"/>
      <c r="E48" s="474"/>
      <c r="F48" s="474"/>
      <c r="G48" s="474"/>
      <c r="H48" s="474"/>
      <c r="I48" s="474"/>
      <c r="J48" s="474"/>
      <c r="K48" s="474"/>
      <c r="L48" s="474"/>
      <c r="M48" s="474"/>
      <c r="N48" s="475"/>
      <c r="O48" s="476"/>
      <c r="P48" s="405">
        <f ca="1">P40-P41+P44+P46+P47</f>
        <v>-3000</v>
      </c>
      <c r="Q48" s="405"/>
    </row>
    <row r="49" spans="1:17" ht="21" x14ac:dyDescent="0.35">
      <c r="A49" s="307" t="s">
        <v>57</v>
      </c>
      <c r="B49" s="307"/>
      <c r="C49" s="307"/>
      <c r="D49" s="307"/>
      <c r="E49" s="307"/>
      <c r="F49" s="307"/>
      <c r="G49" s="307"/>
      <c r="H49" s="307"/>
      <c r="I49" s="307"/>
      <c r="J49" s="307"/>
      <c r="K49" s="307"/>
      <c r="L49" s="307"/>
      <c r="M49" s="307"/>
      <c r="N49" s="307"/>
      <c r="O49" s="307"/>
      <c r="P49" s="307"/>
      <c r="Q49" s="307"/>
    </row>
    <row r="50" spans="1:17" ht="21" x14ac:dyDescent="0.35">
      <c r="A50" s="307" t="s">
        <v>274</v>
      </c>
      <c r="B50" s="307"/>
      <c r="C50" s="307"/>
      <c r="D50" s="307"/>
      <c r="E50" s="307"/>
      <c r="F50" s="307"/>
      <c r="G50" s="307"/>
      <c r="H50" s="307"/>
      <c r="I50" s="307"/>
      <c r="J50" s="307"/>
      <c r="K50" s="307"/>
      <c r="L50" s="307"/>
      <c r="M50" s="487">
        <f>P41</f>
        <v>3000</v>
      </c>
      <c r="N50" s="487"/>
      <c r="O50" s="487"/>
      <c r="P50" s="292" t="s">
        <v>80</v>
      </c>
      <c r="Q50" s="292"/>
    </row>
    <row r="51" spans="1:17" ht="21" x14ac:dyDescent="0.35">
      <c r="A51" s="3" t="s">
        <v>367</v>
      </c>
      <c r="B51" s="3"/>
      <c r="C51" s="3"/>
      <c r="D51" s="3"/>
      <c r="E51" s="3"/>
      <c r="F51" s="3"/>
      <c r="G51" s="3"/>
      <c r="H51" s="3"/>
      <c r="I51" s="3"/>
      <c r="J51" s="488">
        <f ca="1">P48</f>
        <v>-3000</v>
      </c>
      <c r="K51" s="488"/>
      <c r="L51" s="488"/>
      <c r="M51" s="489" t="s">
        <v>422</v>
      </c>
      <c r="N51" s="489"/>
      <c r="O51" s="489"/>
      <c r="P51" s="489"/>
      <c r="Q51" s="489"/>
    </row>
    <row r="52" spans="1:17" ht="21" x14ac:dyDescent="0.35">
      <c r="A52" s="307" t="s">
        <v>359</v>
      </c>
      <c r="B52" s="307"/>
      <c r="C52" s="307"/>
      <c r="D52" s="307"/>
      <c r="E52" s="307"/>
      <c r="F52" s="307"/>
      <c r="G52" s="307"/>
      <c r="H52" s="307"/>
      <c r="I52" s="307"/>
      <c r="J52" s="307"/>
      <c r="K52" s="307"/>
      <c r="L52" s="307"/>
      <c r="M52" s="307"/>
      <c r="N52" s="307"/>
      <c r="O52" s="307"/>
      <c r="P52" s="307"/>
      <c r="Q52" s="307"/>
    </row>
    <row r="53" spans="1:17" ht="21" x14ac:dyDescent="0.35">
      <c r="A53" s="311" t="s">
        <v>368</v>
      </c>
      <c r="B53" s="311"/>
      <c r="C53" s="311"/>
      <c r="D53" s="311"/>
      <c r="E53" s="311"/>
      <c r="F53" s="311"/>
      <c r="G53" s="311"/>
      <c r="H53" s="311"/>
      <c r="I53" s="311"/>
      <c r="J53" s="311"/>
      <c r="K53" s="311"/>
      <c r="L53" s="311"/>
      <c r="M53" s="311"/>
      <c r="N53" s="311"/>
      <c r="O53" s="311"/>
      <c r="P53" s="311"/>
      <c r="Q53" s="311"/>
    </row>
    <row r="54" spans="1:17" ht="21" x14ac:dyDescent="0.35">
      <c r="A54" s="311" t="s">
        <v>361</v>
      </c>
      <c r="B54" s="311"/>
      <c r="C54" s="311"/>
      <c r="D54" s="311"/>
      <c r="E54" s="311"/>
      <c r="F54" s="311"/>
      <c r="G54" s="311"/>
      <c r="H54" s="311"/>
      <c r="I54" s="311"/>
      <c r="J54" s="311"/>
      <c r="K54" s="311"/>
      <c r="L54" s="311"/>
      <c r="M54" s="311"/>
      <c r="N54" s="311"/>
      <c r="O54" s="311"/>
      <c r="P54" s="311"/>
      <c r="Q54" s="311"/>
    </row>
    <row r="55" spans="1:17" ht="21" x14ac:dyDescent="0.35">
      <c r="A55" s="311" t="s">
        <v>360</v>
      </c>
      <c r="B55" s="311"/>
      <c r="C55" s="311"/>
      <c r="D55" s="311"/>
      <c r="E55" s="311"/>
      <c r="F55" s="311"/>
      <c r="G55" s="311"/>
      <c r="H55" s="311"/>
      <c r="I55" s="311"/>
      <c r="J55" s="311"/>
      <c r="K55" s="311"/>
      <c r="L55" s="311"/>
      <c r="M55" s="311"/>
      <c r="N55" s="311"/>
      <c r="O55" s="311"/>
      <c r="P55" s="311"/>
      <c r="Q55" s="311"/>
    </row>
    <row r="56" spans="1:17" ht="21" x14ac:dyDescent="0.35">
      <c r="A56" s="307" t="s">
        <v>362</v>
      </c>
      <c r="B56" s="307"/>
      <c r="C56" s="307"/>
      <c r="D56" s="307"/>
      <c r="E56" s="307"/>
      <c r="F56" s="307"/>
      <c r="G56" s="307"/>
      <c r="H56" s="307"/>
      <c r="I56" s="307"/>
      <c r="J56" s="307"/>
      <c r="K56" s="307"/>
      <c r="L56" s="307"/>
      <c r="M56" s="307"/>
      <c r="N56" s="307"/>
      <c r="O56" s="307"/>
      <c r="P56" s="307"/>
      <c r="Q56" s="307"/>
    </row>
    <row r="57" spans="1:17" ht="21" x14ac:dyDescent="0.35">
      <c r="A57" s="296" t="s">
        <v>6</v>
      </c>
      <c r="B57" s="296"/>
      <c r="C57" s="296"/>
      <c r="D57" s="296"/>
      <c r="E57" s="296"/>
      <c r="F57" s="296"/>
      <c r="G57" s="296"/>
      <c r="H57" s="296"/>
      <c r="I57" s="296"/>
      <c r="J57" s="296"/>
      <c r="K57" s="296"/>
      <c r="L57" s="296"/>
      <c r="M57" s="296"/>
      <c r="N57" s="296"/>
      <c r="O57" s="296"/>
      <c r="P57" s="296"/>
      <c r="Q57" s="296"/>
    </row>
    <row r="58" spans="1:17" ht="21" x14ac:dyDescent="0.35">
      <c r="A58" s="296" t="s">
        <v>45</v>
      </c>
      <c r="B58" s="296"/>
      <c r="C58" s="296"/>
      <c r="D58" s="296"/>
      <c r="E58" s="296"/>
      <c r="F58" s="296"/>
      <c r="G58" s="296"/>
      <c r="H58" s="1"/>
      <c r="I58" s="1"/>
      <c r="J58" s="296" t="s">
        <v>44</v>
      </c>
      <c r="K58" s="296"/>
      <c r="L58" s="296"/>
      <c r="M58" s="296"/>
      <c r="N58" s="296"/>
      <c r="O58" s="296"/>
      <c r="P58" s="296"/>
    </row>
    <row r="59" spans="1:17" ht="21" x14ac:dyDescent="0.35">
      <c r="A59" s="3" t="s">
        <v>10</v>
      </c>
      <c r="B59" s="307" t="str">
        <f>'Пр №1'!B50:G50</f>
        <v>Зинченко Михаил Александрович</v>
      </c>
      <c r="C59" s="307"/>
      <c r="D59" s="307"/>
      <c r="E59" s="307"/>
      <c r="F59" s="307"/>
      <c r="G59" s="307"/>
      <c r="H59" s="3"/>
      <c r="I59" s="3"/>
      <c r="J59" s="307" t="str">
        <f>'Акт прием'!J35:K35</f>
        <v>Ф.И.О.:</v>
      </c>
      <c r="K59" s="307"/>
      <c r="L59" s="307" t="str">
        <f>'Пр №1'!L50:Q50</f>
        <v>{{CLIENT_FULLNAME}}</v>
      </c>
      <c r="M59" s="307"/>
      <c r="N59" s="307"/>
      <c r="O59" s="307"/>
      <c r="P59" s="307"/>
      <c r="Q59" s="307"/>
    </row>
    <row r="60" spans="1:17" ht="21" x14ac:dyDescent="0.35">
      <c r="A60" s="3" t="s">
        <v>28</v>
      </c>
      <c r="B60" s="323">
        <f>'Пр №1'!B51:G51</f>
        <v>22212200650516</v>
      </c>
      <c r="C60" s="323"/>
      <c r="D60" s="323"/>
      <c r="E60" s="323"/>
      <c r="F60" s="323"/>
      <c r="G60" s="323"/>
      <c r="H60" s="3"/>
      <c r="I60" s="12"/>
      <c r="J60" s="323" t="str">
        <f>'Акт прием'!J36:K36</f>
        <v>ПИН:</v>
      </c>
      <c r="K60" s="323"/>
      <c r="L60" s="323" t="str">
        <f>'Пр №1'!L51:P51</f>
        <v>ХХХХ</v>
      </c>
      <c r="M60" s="323"/>
      <c r="N60" s="323"/>
      <c r="O60" s="323"/>
      <c r="P60" s="323"/>
      <c r="Q60" s="23"/>
    </row>
    <row r="61" spans="1:17" ht="21" x14ac:dyDescent="0.35">
      <c r="A61" s="307" t="s">
        <v>29</v>
      </c>
      <c r="B61" s="307"/>
      <c r="C61" s="13" t="str">
        <f>'Пр №1'!C52</f>
        <v>ID</v>
      </c>
      <c r="D61" s="13" t="s">
        <v>12</v>
      </c>
      <c r="E61" s="307">
        <f>'Пр №1'!E52:G52</f>
        <v>1706490</v>
      </c>
      <c r="F61" s="307"/>
      <c r="G61" s="307"/>
      <c r="H61" s="3"/>
      <c r="I61" s="3"/>
      <c r="J61" s="307" t="str">
        <f>'Акт прием'!J37:K37</f>
        <v>Паспорт:</v>
      </c>
      <c r="K61" s="307"/>
      <c r="L61" s="13" t="str">
        <f>'Пр №1'!L52</f>
        <v>ХХХ</v>
      </c>
      <c r="M61" s="13" t="s">
        <v>12</v>
      </c>
      <c r="N61" s="307" t="str">
        <f>'Пр №1'!N52:O52</f>
        <v>ХХХХХ</v>
      </c>
      <c r="O61" s="307"/>
      <c r="P61" s="3"/>
    </row>
    <row r="62" spans="1:17" ht="21" x14ac:dyDescent="0.35">
      <c r="A62" s="307" t="s">
        <v>30</v>
      </c>
      <c r="B62" s="307"/>
      <c r="C62" s="307" t="str">
        <f>'Пр №1'!C53:G53</f>
        <v>МКК 211041 от 05.06.2020</v>
      </c>
      <c r="D62" s="307"/>
      <c r="E62" s="307"/>
      <c r="F62" s="307"/>
      <c r="G62" s="307"/>
      <c r="H62" s="16"/>
      <c r="I62" s="3"/>
      <c r="J62" s="307" t="str">
        <f>'Акт прием'!J38:K38</f>
        <v>Выдан:</v>
      </c>
      <c r="K62" s="307"/>
      <c r="L62" s="3" t="str">
        <f>'Пр №1'!L53</f>
        <v>МКК</v>
      </c>
      <c r="M62" s="3" t="str">
        <f>'Пр №1'!M53</f>
        <v>ХХХХ</v>
      </c>
      <c r="N62" s="3" t="str">
        <f>'Пр №1'!N53</f>
        <v>от</v>
      </c>
      <c r="O62" s="374" t="str">
        <f>'Пр №1'!O53</f>
        <v>ХХХХ</v>
      </c>
      <c r="P62" s="292"/>
    </row>
    <row r="63" spans="1:17" ht="21" x14ac:dyDescent="0.35">
      <c r="A63" s="307" t="s">
        <v>31</v>
      </c>
      <c r="B63" s="307"/>
      <c r="C63" s="307" t="str">
        <f>'Пр №1'!C54:G54</f>
        <v>г. Бишкек</v>
      </c>
      <c r="D63" s="307"/>
      <c r="E63" s="307"/>
      <c r="F63" s="307"/>
      <c r="G63" s="307"/>
      <c r="H63" s="11"/>
      <c r="I63" s="3"/>
      <c r="J63" s="307" t="str">
        <f>'Акт прием'!J39:K39</f>
        <v>Адрес:</v>
      </c>
      <c r="K63" s="307"/>
      <c r="L63" s="307" t="str">
        <f>'Пр №1'!L54:Q54</f>
        <v>Чуйская область г. Бишкек</v>
      </c>
      <c r="M63" s="307"/>
      <c r="N63" s="307"/>
      <c r="O63" s="307"/>
      <c r="P63" s="307"/>
      <c r="Q63" s="307"/>
    </row>
    <row r="64" spans="1:17" ht="21" x14ac:dyDescent="0.35">
      <c r="A64" s="307" t="str">
        <f>'Пр №1'!A55:G55</f>
        <v>ул. Ялтинская д. №  56</v>
      </c>
      <c r="B64" s="307"/>
      <c r="C64" s="307"/>
      <c r="D64" s="307"/>
      <c r="E64" s="307"/>
      <c r="F64" s="307"/>
      <c r="G64" s="307"/>
      <c r="H64" s="3"/>
      <c r="I64" s="3"/>
      <c r="J64" s="307" t="str">
        <f>'Пр №1'!J55:P55</f>
        <v>ул. ХХХХХ</v>
      </c>
      <c r="K64" s="307"/>
      <c r="L64" s="307"/>
      <c r="M64" s="307"/>
      <c r="N64" s="307"/>
      <c r="O64" s="307"/>
      <c r="P64" s="307"/>
      <c r="Q64" s="307"/>
    </row>
    <row r="65" spans="1:17" ht="21" x14ac:dyDescent="0.35">
      <c r="A65" s="307" t="s">
        <v>32</v>
      </c>
      <c r="B65" s="307"/>
      <c r="C65" s="307"/>
      <c r="D65" s="307">
        <f>'Пр №1'!D56:G56</f>
        <v>720051</v>
      </c>
      <c r="E65" s="307"/>
      <c r="F65" s="307"/>
      <c r="G65" s="307"/>
      <c r="H65" s="11"/>
      <c r="I65" s="3"/>
      <c r="J65" s="307" t="str">
        <f>'Акт прием'!J41:L41</f>
        <v>Почтовый индекс:</v>
      </c>
      <c r="K65" s="307"/>
      <c r="L65" s="307"/>
      <c r="M65" s="307">
        <f>'Пр №1'!M56:N56</f>
        <v>0</v>
      </c>
      <c r="N65" s="307"/>
      <c r="O65" s="3"/>
      <c r="P65" s="3"/>
    </row>
    <row r="66" spans="1:17" ht="21" x14ac:dyDescent="0.35">
      <c r="A66" s="307" t="s">
        <v>7</v>
      </c>
      <c r="B66" s="307"/>
      <c r="C66" s="307"/>
      <c r="D66" s="307"/>
      <c r="E66" s="307"/>
      <c r="F66" s="307"/>
      <c r="G66" s="307"/>
      <c r="H66" s="3"/>
      <c r="I66" s="3"/>
      <c r="J66" s="307" t="str">
        <f>'Акт прием'!J42:P42</f>
        <v>Банковские реквизиты:</v>
      </c>
      <c r="K66" s="307"/>
      <c r="L66" s="307"/>
      <c r="M66" s="307"/>
      <c r="N66" s="307"/>
      <c r="O66" s="307"/>
      <c r="P66" s="307"/>
    </row>
    <row r="67" spans="1:17" ht="21" x14ac:dyDescent="0.35">
      <c r="A67" s="307" t="str">
        <f>'Пр №1'!A58:G58</f>
        <v>ОАО Комерческий банк Кыргызстан</v>
      </c>
      <c r="B67" s="307"/>
      <c r="C67" s="307"/>
      <c r="D67" s="307"/>
      <c r="E67" s="307"/>
      <c r="F67" s="307"/>
      <c r="G67" s="307"/>
      <c r="H67" s="3"/>
      <c r="I67" s="3"/>
      <c r="J67" s="307">
        <f>'Пр №1'!J58:P58</f>
        <v>0</v>
      </c>
      <c r="K67" s="307"/>
      <c r="L67" s="307"/>
      <c r="M67" s="307"/>
      <c r="N67" s="307"/>
      <c r="O67" s="307"/>
      <c r="P67" s="307"/>
    </row>
    <row r="68" spans="1:17" ht="21" x14ac:dyDescent="0.35">
      <c r="A68" s="3" t="s">
        <v>49</v>
      </c>
      <c r="B68" s="323" t="str">
        <f>'Пр №1'!B59:G59</f>
        <v>"1030120300369929"</v>
      </c>
      <c r="C68" s="323"/>
      <c r="D68" s="323"/>
      <c r="E68" s="323"/>
      <c r="F68" s="323"/>
      <c r="G68" s="323"/>
      <c r="H68" s="3"/>
      <c r="I68" s="3"/>
      <c r="J68" s="3" t="str">
        <f>'Акт прием'!J44</f>
        <v>р/c:</v>
      </c>
      <c r="K68" s="323">
        <f>'Пр №1'!K59:P59</f>
        <v>0</v>
      </c>
      <c r="L68" s="323"/>
      <c r="M68" s="323"/>
      <c r="N68" s="323"/>
      <c r="O68" s="323"/>
      <c r="P68" s="323"/>
    </row>
    <row r="69" spans="1:17" ht="21" x14ac:dyDescent="0.35">
      <c r="A69" s="3" t="s">
        <v>9</v>
      </c>
      <c r="B69" s="307">
        <f>'Пр №1'!B60:G60</f>
        <v>103001</v>
      </c>
      <c r="C69" s="307"/>
      <c r="D69" s="307"/>
      <c r="E69" s="307"/>
      <c r="F69" s="307"/>
      <c r="G69" s="307"/>
      <c r="H69" s="3"/>
      <c r="I69" s="3"/>
      <c r="J69" s="3" t="str">
        <f>'Акт прием'!J45</f>
        <v>БИК:</v>
      </c>
      <c r="K69" s="307">
        <f>'Пр №1'!K60:P60</f>
        <v>0</v>
      </c>
      <c r="L69" s="307"/>
      <c r="M69" s="307"/>
      <c r="N69" s="307"/>
      <c r="O69" s="307"/>
      <c r="P69" s="307"/>
    </row>
    <row r="70" spans="1:17" ht="21" x14ac:dyDescent="0.35">
      <c r="A70" s="307" t="str">
        <f>'Пр №1'!A61:G61</f>
        <v>УГНС 003 Свердловского района</v>
      </c>
      <c r="B70" s="307"/>
      <c r="C70" s="307"/>
      <c r="D70" s="307"/>
      <c r="E70" s="307"/>
      <c r="F70" s="307"/>
      <c r="G70" s="307"/>
      <c r="H70" s="3"/>
      <c r="I70" s="3"/>
      <c r="J70" s="307" t="str">
        <f>'Пр №1'!J61:P61</f>
        <v>УГНС 000</v>
      </c>
      <c r="K70" s="307"/>
      <c r="L70" s="307"/>
      <c r="M70" s="307"/>
      <c r="N70" s="307"/>
      <c r="O70" s="307"/>
      <c r="P70" s="307"/>
    </row>
    <row r="71" spans="1:17" ht="21" x14ac:dyDescent="0.35">
      <c r="A71" s="3" t="str">
        <f>'Акт прием'!A47</f>
        <v>ОКПО:</v>
      </c>
      <c r="B71" s="292">
        <f>'Пр №1'!B62</f>
        <v>32282661</v>
      </c>
      <c r="C71" s="29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7" ht="21" x14ac:dyDescent="0.35">
      <c r="A72" s="292" t="str">
        <f>'Акт прием'!A48:C48</f>
        <v>Зинченко М. А.</v>
      </c>
      <c r="B72" s="292"/>
      <c r="C72" s="292"/>
      <c r="D72" s="292" t="str">
        <f>'Акт прием'!D48:F48</f>
        <v>________________________</v>
      </c>
      <c r="E72" s="292"/>
      <c r="F72" s="292"/>
      <c r="G72" s="3"/>
      <c r="H72" s="3"/>
      <c r="I72" s="3"/>
      <c r="J72" s="292" t="e">
        <f>'Пр №1'!J63:L63</f>
        <v>#VALUE!</v>
      </c>
      <c r="K72" s="292"/>
      <c r="L72" s="292"/>
      <c r="M72" s="307" t="s">
        <v>33</v>
      </c>
      <c r="N72" s="307"/>
      <c r="O72" s="307"/>
      <c r="P72" s="307"/>
    </row>
    <row r="73" spans="1:17" ht="21" x14ac:dyDescent="0.35">
      <c r="A73" s="3"/>
      <c r="B73" s="3"/>
      <c r="C73" s="3"/>
      <c r="D73" s="316" t="str">
        <f>'Акт прием'!D49:F49</f>
        <v>(подпись)</v>
      </c>
      <c r="E73" s="316"/>
      <c r="F73" s="316"/>
      <c r="G73" s="37"/>
      <c r="H73" s="37"/>
      <c r="I73" s="37"/>
      <c r="J73" s="37"/>
      <c r="K73" s="37"/>
      <c r="L73" s="37"/>
      <c r="M73" s="316">
        <f>'Акт прием'!M49:P49</f>
        <v>0</v>
      </c>
      <c r="N73" s="316"/>
      <c r="O73" s="316"/>
      <c r="P73" s="316"/>
    </row>
    <row r="74" spans="1:17" ht="21" x14ac:dyDescent="0.35">
      <c r="A74" s="464" t="str">
        <f>A7</f>
        <v>Зинченко Михаил Александрович</v>
      </c>
      <c r="B74" s="464"/>
      <c r="C74" s="464"/>
      <c r="D74" s="464"/>
      <c r="E74" s="464"/>
      <c r="F74" s="464"/>
      <c r="G74" s="37"/>
      <c r="H74" s="37"/>
      <c r="I74" s="37"/>
      <c r="J74" s="187" t="s">
        <v>551</v>
      </c>
      <c r="K74" s="187"/>
      <c r="L74" s="187"/>
      <c r="M74" s="188"/>
      <c r="N74" s="188"/>
      <c r="O74" s="188"/>
      <c r="P74" s="188"/>
      <c r="Q74" s="189"/>
    </row>
    <row r="75" spans="1:17" ht="21" x14ac:dyDescent="0.35">
      <c r="A75" s="3"/>
      <c r="B75" s="3"/>
      <c r="C75" s="3"/>
      <c r="D75" s="101"/>
      <c r="E75" s="101"/>
      <c r="F75" s="101"/>
      <c r="G75" s="37"/>
      <c r="H75" s="37"/>
      <c r="I75" s="37"/>
      <c r="J75" s="37"/>
      <c r="K75" s="37"/>
      <c r="L75" s="37"/>
      <c r="M75" s="463" t="s">
        <v>263</v>
      </c>
      <c r="N75" s="463"/>
      <c r="O75" s="463"/>
      <c r="P75" s="101"/>
    </row>
    <row r="76" spans="1:17" ht="21" x14ac:dyDescent="0.35">
      <c r="A76" s="9" t="str">
        <f>'Пр №1'!A65</f>
        <v xml:space="preserve"> «</v>
      </c>
      <c r="B76" s="15">
        <f ca="1">'Пр №1'!B65</f>
        <v>21</v>
      </c>
      <c r="C76" s="10" t="str">
        <f>'Пр №1'!C65</f>
        <v>»</v>
      </c>
      <c r="D76" s="337" t="str">
        <f ca="1">'Пр №1'!D65:E65</f>
        <v>Ноябрь</v>
      </c>
      <c r="E76" s="337"/>
      <c r="F76" s="10">
        <f ca="1">'Пр №1'!F65</f>
        <v>2025</v>
      </c>
      <c r="G76" s="10" t="str">
        <f>'Пр №1'!G65</f>
        <v>г.</v>
      </c>
      <c r="H76" s="9"/>
      <c r="I76" s="15"/>
      <c r="J76" s="5" t="str">
        <f>A76</f>
        <v xml:space="preserve"> «</v>
      </c>
      <c r="K76" s="5">
        <f ca="1">B76</f>
        <v>21</v>
      </c>
      <c r="L76" s="1" t="str">
        <f>C76</f>
        <v>»</v>
      </c>
      <c r="M76" s="296" t="str">
        <f ca="1">D76</f>
        <v>Ноябрь</v>
      </c>
      <c r="N76" s="296"/>
      <c r="O76" s="1">
        <f ca="1">F76</f>
        <v>2025</v>
      </c>
      <c r="P76" s="1" t="str">
        <f>G76</f>
        <v>г.</v>
      </c>
    </row>
    <row r="77" spans="1:17" ht="21" x14ac:dyDescent="0.35">
      <c r="A77" s="292" t="s">
        <v>26</v>
      </c>
      <c r="B77" s="292"/>
      <c r="C77" s="292" t="str">
        <f>'Пр №1'!C66:G66</f>
        <v xml:space="preserve"> +996 (555) 147 688</v>
      </c>
      <c r="D77" s="292"/>
      <c r="E77" s="292"/>
      <c r="F77" s="292"/>
      <c r="G77" s="292"/>
      <c r="H77" s="3"/>
      <c r="I77" s="3"/>
      <c r="J77" s="292" t="s">
        <v>26</v>
      </c>
      <c r="K77" s="292"/>
      <c r="L77" s="335" t="str">
        <f>'Пр №1'!L66:P66</f>
        <v>{{CLIENT_PHONE}}</v>
      </c>
      <c r="M77" s="335"/>
      <c r="N77" s="335"/>
      <c r="O77" s="335"/>
      <c r="P77" s="335"/>
    </row>
  </sheetData>
  <mergeCells count="221">
    <mergeCell ref="A40:I41"/>
    <mergeCell ref="J40:L40"/>
    <mergeCell ref="J41:L41"/>
    <mergeCell ref="A56:Q56"/>
    <mergeCell ref="A58:G58"/>
    <mergeCell ref="J62:K62"/>
    <mergeCell ref="J58:P58"/>
    <mergeCell ref="B59:G59"/>
    <mergeCell ref="J59:K59"/>
    <mergeCell ref="O62:P62"/>
    <mergeCell ref="L43:M43"/>
    <mergeCell ref="N43:O43"/>
    <mergeCell ref="L59:Q59"/>
    <mergeCell ref="A49:Q49"/>
    <mergeCell ref="A50:L50"/>
    <mergeCell ref="A57:Q57"/>
    <mergeCell ref="P50:Q50"/>
    <mergeCell ref="M50:O50"/>
    <mergeCell ref="P48:Q48"/>
    <mergeCell ref="P46:Q46"/>
    <mergeCell ref="J51:L51"/>
    <mergeCell ref="M51:Q51"/>
    <mergeCell ref="A52:Q52"/>
    <mergeCell ref="A53:Q53"/>
    <mergeCell ref="A54:Q54"/>
    <mergeCell ref="A55:Q55"/>
    <mergeCell ref="B46:K46"/>
    <mergeCell ref="A63:B63"/>
    <mergeCell ref="C63:G63"/>
    <mergeCell ref="J63:K63"/>
    <mergeCell ref="L63:Q63"/>
    <mergeCell ref="B60:G60"/>
    <mergeCell ref="J60:K60"/>
    <mergeCell ref="L60:P60"/>
    <mergeCell ref="A61:B61"/>
    <mergeCell ref="E61:G61"/>
    <mergeCell ref="J61:K61"/>
    <mergeCell ref="N61:O61"/>
    <mergeCell ref="A62:B62"/>
    <mergeCell ref="C62:G62"/>
    <mergeCell ref="B47:K47"/>
    <mergeCell ref="L47:M47"/>
    <mergeCell ref="N47:O47"/>
    <mergeCell ref="P47:Q47"/>
    <mergeCell ref="B48:O48"/>
    <mergeCell ref="N46:O46"/>
    <mergeCell ref="L46:M46"/>
    <mergeCell ref="A67:G67"/>
    <mergeCell ref="J67:P67"/>
    <mergeCell ref="B68:G68"/>
    <mergeCell ref="K68:P68"/>
    <mergeCell ref="A64:G64"/>
    <mergeCell ref="J64:Q64"/>
    <mergeCell ref="A65:C65"/>
    <mergeCell ref="D65:G65"/>
    <mergeCell ref="J65:L65"/>
    <mergeCell ref="M65:N65"/>
    <mergeCell ref="A66:G66"/>
    <mergeCell ref="J66:P66"/>
    <mergeCell ref="A77:B77"/>
    <mergeCell ref="C77:G77"/>
    <mergeCell ref="J77:K77"/>
    <mergeCell ref="L77:P77"/>
    <mergeCell ref="B69:G69"/>
    <mergeCell ref="K69:P69"/>
    <mergeCell ref="A70:G70"/>
    <mergeCell ref="J70:P70"/>
    <mergeCell ref="J72:L72"/>
    <mergeCell ref="M72:P72"/>
    <mergeCell ref="D76:E76"/>
    <mergeCell ref="M76:N76"/>
    <mergeCell ref="A72:C72"/>
    <mergeCell ref="D72:F72"/>
    <mergeCell ref="M73:P73"/>
    <mergeCell ref="D73:F73"/>
    <mergeCell ref="M75:O75"/>
    <mergeCell ref="A74:F74"/>
    <mergeCell ref="B71:C71"/>
    <mergeCell ref="A3:Q3"/>
    <mergeCell ref="A4:Q4"/>
    <mergeCell ref="A5:I5"/>
    <mergeCell ref="B6:E6"/>
    <mergeCell ref="L6:M6"/>
    <mergeCell ref="A13:B13"/>
    <mergeCell ref="N13:Q13"/>
    <mergeCell ref="A8:Q8"/>
    <mergeCell ref="A9:Q9"/>
    <mergeCell ref="A11:H11"/>
    <mergeCell ref="I11:Q11"/>
    <mergeCell ref="A12:D12"/>
    <mergeCell ref="G12:H12"/>
    <mergeCell ref="N12:Q12"/>
    <mergeCell ref="A10:B10"/>
    <mergeCell ref="C10:F10"/>
    <mergeCell ref="A16:Q16"/>
    <mergeCell ref="H10:Q10"/>
    <mergeCell ref="A7:F7"/>
    <mergeCell ref="G7:Q7"/>
    <mergeCell ref="I13:M13"/>
    <mergeCell ref="C13:H13"/>
    <mergeCell ref="H14:Q14"/>
    <mergeCell ref="A14:G14"/>
    <mergeCell ref="A15:B15"/>
    <mergeCell ref="C15:F15"/>
    <mergeCell ref="G15:J15"/>
    <mergeCell ref="K15:P15"/>
    <mergeCell ref="H19:I19"/>
    <mergeCell ref="H20:I20"/>
    <mergeCell ref="A17:I17"/>
    <mergeCell ref="J19:K19"/>
    <mergeCell ref="P19:Q19"/>
    <mergeCell ref="N19:O19"/>
    <mergeCell ref="A18:Q18"/>
    <mergeCell ref="B19:E19"/>
    <mergeCell ref="A20:A21"/>
    <mergeCell ref="B20:E21"/>
    <mergeCell ref="J20:K21"/>
    <mergeCell ref="N20:O21"/>
    <mergeCell ref="P20:Q21"/>
    <mergeCell ref="H21:I21"/>
    <mergeCell ref="L20:L21"/>
    <mergeCell ref="M20:M21"/>
    <mergeCell ref="N22:O23"/>
    <mergeCell ref="P22:Q23"/>
    <mergeCell ref="A24:A25"/>
    <mergeCell ref="B24:E25"/>
    <mergeCell ref="J24:K25"/>
    <mergeCell ref="N24:O25"/>
    <mergeCell ref="P24:Q25"/>
    <mergeCell ref="H22:I22"/>
    <mergeCell ref="H23:I23"/>
    <mergeCell ref="H24:I24"/>
    <mergeCell ref="H25:I25"/>
    <mergeCell ref="L22:L23"/>
    <mergeCell ref="L24:L25"/>
    <mergeCell ref="M22:M23"/>
    <mergeCell ref="M24:M25"/>
    <mergeCell ref="A22:A23"/>
    <mergeCell ref="B22:E23"/>
    <mergeCell ref="J22:K23"/>
    <mergeCell ref="P34:Q35"/>
    <mergeCell ref="A36:A37"/>
    <mergeCell ref="B36:E37"/>
    <mergeCell ref="N26:O27"/>
    <mergeCell ref="P26:Q27"/>
    <mergeCell ref="A28:A29"/>
    <mergeCell ref="B28:E29"/>
    <mergeCell ref="J28:K29"/>
    <mergeCell ref="N28:O29"/>
    <mergeCell ref="P28:Q29"/>
    <mergeCell ref="H26:I26"/>
    <mergeCell ref="H27:I27"/>
    <mergeCell ref="H29:I29"/>
    <mergeCell ref="H28:I28"/>
    <mergeCell ref="L26:L27"/>
    <mergeCell ref="L28:L29"/>
    <mergeCell ref="M26:M27"/>
    <mergeCell ref="M28:M29"/>
    <mergeCell ref="A26:A27"/>
    <mergeCell ref="B26:E27"/>
    <mergeCell ref="J26:K27"/>
    <mergeCell ref="N36:O37"/>
    <mergeCell ref="P36:Q37"/>
    <mergeCell ref="M38:M39"/>
    <mergeCell ref="A30:A31"/>
    <mergeCell ref="B30:E31"/>
    <mergeCell ref="J30:K31"/>
    <mergeCell ref="A38:A39"/>
    <mergeCell ref="B38:E39"/>
    <mergeCell ref="N30:O31"/>
    <mergeCell ref="P30:Q31"/>
    <mergeCell ref="A32:A33"/>
    <mergeCell ref="B32:E33"/>
    <mergeCell ref="J32:K33"/>
    <mergeCell ref="N32:O33"/>
    <mergeCell ref="P32:Q33"/>
    <mergeCell ref="L30:L31"/>
    <mergeCell ref="L32:L33"/>
    <mergeCell ref="H30:I30"/>
    <mergeCell ref="H31:I31"/>
    <mergeCell ref="H32:I32"/>
    <mergeCell ref="H33:I33"/>
    <mergeCell ref="M30:M31"/>
    <mergeCell ref="M32:M33"/>
    <mergeCell ref="N34:O35"/>
    <mergeCell ref="M34:M35"/>
    <mergeCell ref="M36:M37"/>
    <mergeCell ref="N40:O40"/>
    <mergeCell ref="P40:Q40"/>
    <mergeCell ref="B42:K42"/>
    <mergeCell ref="B43:K43"/>
    <mergeCell ref="B45:K45"/>
    <mergeCell ref="A34:A35"/>
    <mergeCell ref="B34:E35"/>
    <mergeCell ref="J34:K35"/>
    <mergeCell ref="J38:K39"/>
    <mergeCell ref="N38:O39"/>
    <mergeCell ref="P38:Q39"/>
    <mergeCell ref="L38:L39"/>
    <mergeCell ref="H38:I38"/>
    <mergeCell ref="H39:I39"/>
    <mergeCell ref="L34:L35"/>
    <mergeCell ref="L36:L37"/>
    <mergeCell ref="H34:I34"/>
    <mergeCell ref="H35:I35"/>
    <mergeCell ref="H36:I36"/>
    <mergeCell ref="H37:I37"/>
    <mergeCell ref="J36:K37"/>
    <mergeCell ref="N44:O44"/>
    <mergeCell ref="B44:K44"/>
    <mergeCell ref="L44:M44"/>
    <mergeCell ref="P43:Q43"/>
    <mergeCell ref="N41:O41"/>
    <mergeCell ref="P41:Q41"/>
    <mergeCell ref="L42:M42"/>
    <mergeCell ref="L45:M45"/>
    <mergeCell ref="N45:O45"/>
    <mergeCell ref="P44:Q44"/>
    <mergeCell ref="P45:Q45"/>
    <mergeCell ref="P42:Q42"/>
    <mergeCell ref="N42:O42"/>
  </mergeCells>
  <pageMargins left="0.33" right="0.28999999999999998" top="0.33" bottom="0.33" header="0.3" footer="0.3"/>
  <pageSetup paperSize="9" scale="48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6">
    <pageSetUpPr fitToPage="1"/>
  </sheetPr>
  <dimension ref="A3:Q57"/>
  <sheetViews>
    <sheetView showZeros="0" zoomScale="80" zoomScaleNormal="80" workbookViewId="0">
      <selection activeCell="H6" sqref="H6"/>
    </sheetView>
  </sheetViews>
  <sheetFormatPr defaultRowHeight="15" x14ac:dyDescent="0.25"/>
  <cols>
    <col min="6" max="6" width="10.5703125" customWidth="1"/>
    <col min="7" max="7" width="21.85546875" customWidth="1"/>
    <col min="8" max="8" width="9.5703125" customWidth="1"/>
    <col min="9" max="9" width="10.28515625" customWidth="1"/>
    <col min="10" max="10" width="16.5703125" customWidth="1"/>
    <col min="11" max="11" width="12.140625" customWidth="1"/>
    <col min="12" max="12" width="9.28515625" bestFit="1" customWidth="1"/>
    <col min="13" max="13" width="16.140625" bestFit="1" customWidth="1"/>
    <col min="14" max="14" width="12.85546875" bestFit="1" customWidth="1"/>
    <col min="15" max="15" width="11.42578125" customWidth="1"/>
    <col min="16" max="16" width="9.140625" customWidth="1"/>
    <col min="17" max="17" width="14.5703125" customWidth="1"/>
  </cols>
  <sheetData>
    <row r="3" spans="1:17" ht="26.25" x14ac:dyDescent="0.4">
      <c r="A3" s="351" t="s">
        <v>27</v>
      </c>
      <c r="B3" s="351"/>
      <c r="C3" s="351"/>
      <c r="D3" s="351"/>
      <c r="E3" s="351"/>
      <c r="F3" s="351"/>
      <c r="G3" s="351"/>
      <c r="H3" s="351"/>
      <c r="I3" s="351"/>
      <c r="J3" s="351"/>
      <c r="K3" s="351"/>
      <c r="L3" s="351"/>
      <c r="M3" s="351"/>
      <c r="N3" s="351"/>
      <c r="O3" s="351"/>
      <c r="P3" s="351"/>
      <c r="Q3" s="351"/>
    </row>
    <row r="4" spans="1:17" ht="27" thickBot="1" x14ac:dyDescent="0.45">
      <c r="A4" s="351" t="s">
        <v>50</v>
      </c>
      <c r="B4" s="351"/>
      <c r="C4" s="351"/>
      <c r="D4" s="351"/>
      <c r="E4" s="351"/>
      <c r="F4" s="351"/>
      <c r="G4" s="351"/>
      <c r="H4" s="351"/>
      <c r="I4" s="351"/>
      <c r="J4" s="351"/>
      <c r="K4" s="351"/>
      <c r="L4" s="351"/>
      <c r="M4" s="351"/>
      <c r="N4" s="351"/>
      <c r="O4" s="351"/>
      <c r="P4" s="351"/>
      <c r="Q4" s="351"/>
    </row>
    <row r="5" spans="1:17" ht="21.75" thickBot="1" x14ac:dyDescent="0.4">
      <c r="A5" s="356"/>
      <c r="B5" s="356"/>
      <c r="C5" s="356"/>
      <c r="D5" s="356"/>
      <c r="E5" s="356"/>
      <c r="F5" s="356"/>
      <c r="G5" s="356"/>
      <c r="H5" s="356"/>
      <c r="I5" s="356"/>
      <c r="J5" s="5" t="s">
        <v>12</v>
      </c>
      <c r="K5" s="219">
        <f ca="1">'Пр №1'!J3</f>
        <v>21</v>
      </c>
      <c r="L5" s="220">
        <f ca="1">'Пр №1'!K3</f>
        <v>11</v>
      </c>
      <c r="M5" s="220">
        <f ca="1">'Пр №1'!L3</f>
        <v>2025</v>
      </c>
      <c r="N5" s="226">
        <f ca="1">'Пр №1'!M3</f>
        <v>45982.790570370373</v>
      </c>
      <c r="O5" s="227">
        <f>'Акт расч'!O5</f>
        <v>1</v>
      </c>
    </row>
    <row r="6" spans="1:17" ht="21" x14ac:dyDescent="0.35">
      <c r="A6" s="1"/>
      <c r="B6" s="296" t="str">
        <f>Дог.!B13</f>
        <v xml:space="preserve">г. Бишкек </v>
      </c>
      <c r="C6" s="296"/>
      <c r="D6" s="296"/>
      <c r="E6" s="296"/>
      <c r="F6" s="1"/>
      <c r="G6" s="1"/>
      <c r="H6" s="1"/>
      <c r="I6" s="7" t="str">
        <f>'Пр №1'!I5</f>
        <v xml:space="preserve"> «</v>
      </c>
      <c r="J6" s="5">
        <f ca="1">'Пр №1'!J5</f>
        <v>21</v>
      </c>
      <c r="K6" s="1" t="str">
        <f>'Пр №1'!K5</f>
        <v>»</v>
      </c>
      <c r="L6" s="296" t="str">
        <f ca="1">'Пр №1'!L5</f>
        <v>Ноябрь</v>
      </c>
      <c r="M6" s="296"/>
      <c r="N6" s="1">
        <f ca="1">'Пр №1'!N5</f>
        <v>2025</v>
      </c>
      <c r="O6" s="1" t="str">
        <f>'Пр №1'!O5</f>
        <v>г.</v>
      </c>
    </row>
    <row r="7" spans="1:17" ht="21" x14ac:dyDescent="0.35">
      <c r="A7" s="305" t="str">
        <f>'Акт расч'!A7:E7</f>
        <v>Зинченко Михаил Александрович</v>
      </c>
      <c r="B7" s="305"/>
      <c r="C7" s="305"/>
      <c r="D7" s="305"/>
      <c r="E7" s="305"/>
      <c r="F7" s="305"/>
      <c r="G7" s="355" t="str">
        <f>'Счет '!G7:Q7</f>
        <v>22.12.2006 года рождения, паспорт: ID3219844 выдан MKK 218011от 12.02.2023 г.</v>
      </c>
      <c r="H7" s="355"/>
      <c r="I7" s="355"/>
      <c r="J7" s="355"/>
      <c r="K7" s="355"/>
      <c r="L7" s="355"/>
      <c r="M7" s="355"/>
      <c r="N7" s="355"/>
      <c r="O7" s="355"/>
      <c r="P7" s="355"/>
      <c r="Q7" s="355"/>
    </row>
    <row r="8" spans="1:17" ht="21" x14ac:dyDescent="0.35">
      <c r="A8" s="353" t="str">
        <f>'Пр №1'!A7:Q7</f>
        <v>зарегистрированный по адресу город Бишкек, улица Ялтинская 56/1, действующий на основании Свидетельства о государственной</v>
      </c>
      <c r="B8" s="353"/>
      <c r="C8" s="353"/>
      <c r="D8" s="353"/>
      <c r="E8" s="353"/>
      <c r="F8" s="353"/>
      <c r="G8" s="353"/>
      <c r="H8" s="353"/>
      <c r="I8" s="353"/>
      <c r="J8" s="353"/>
      <c r="K8" s="353"/>
      <c r="L8" s="353"/>
      <c r="M8" s="353"/>
      <c r="N8" s="353"/>
      <c r="O8" s="353"/>
      <c r="P8" s="353"/>
      <c r="Q8" s="353"/>
    </row>
    <row r="9" spans="1:17" ht="21" x14ac:dyDescent="0.35">
      <c r="A9" s="353" t="str">
        <f>'Пр №1'!A8:Q8</f>
        <v>регистрации индивидуального предпринимателя по Свердловскому району г. Бишкек № 003-2024-169-5930 от 08.08.2024</v>
      </c>
      <c r="B9" s="353"/>
      <c r="C9" s="353"/>
      <c r="D9" s="353"/>
      <c r="E9" s="353"/>
      <c r="F9" s="353"/>
      <c r="G9" s="353"/>
      <c r="H9" s="353"/>
      <c r="I9" s="353"/>
      <c r="J9" s="353"/>
      <c r="K9" s="353"/>
      <c r="L9" s="353"/>
      <c r="M9" s="353"/>
      <c r="N9" s="353"/>
      <c r="O9" s="353"/>
      <c r="P9" s="353"/>
      <c r="Q9" s="353"/>
    </row>
    <row r="10" spans="1:17" ht="21" x14ac:dyDescent="0.25">
      <c r="A10" s="352" t="s">
        <v>28</v>
      </c>
      <c r="B10" s="352"/>
      <c r="C10" s="303">
        <f>'Пр №1'!C9:G9</f>
        <v>22212200650516</v>
      </c>
      <c r="D10" s="352"/>
      <c r="E10" s="352"/>
      <c r="F10" s="352"/>
      <c r="G10" s="352"/>
      <c r="H10" s="352" t="s">
        <v>84</v>
      </c>
      <c r="I10" s="352"/>
      <c r="J10" s="352"/>
      <c r="K10" s="352"/>
      <c r="L10" s="352"/>
      <c r="M10" s="352"/>
      <c r="N10" s="352"/>
      <c r="O10" s="352"/>
      <c r="P10" s="352"/>
      <c r="Q10" s="352"/>
    </row>
    <row r="11" spans="1:17" ht="21" x14ac:dyDescent="0.35">
      <c r="A11" s="322" t="str">
        <f>'Акт расч'!A11:H11</f>
        <v>{{CLIENT_FULLNAME}}</v>
      </c>
      <c r="B11" s="322"/>
      <c r="C11" s="322"/>
      <c r="D11" s="322"/>
      <c r="E11" s="322"/>
      <c r="F11" s="322"/>
      <c r="G11" s="322"/>
      <c r="H11" s="322"/>
      <c r="I11" s="352" t="s">
        <v>72</v>
      </c>
      <c r="J11" s="352"/>
      <c r="K11" s="352"/>
      <c r="L11" s="352"/>
      <c r="M11" s="352"/>
      <c r="N11" s="352"/>
      <c r="O11" s="352"/>
      <c r="P11" s="352"/>
      <c r="Q11" s="352"/>
    </row>
    <row r="12" spans="1:17" ht="21" x14ac:dyDescent="0.35">
      <c r="A12" s="353" t="str">
        <f>Дог.!A19</f>
        <v xml:space="preserve"> на основании паспорта:</v>
      </c>
      <c r="B12" s="353"/>
      <c r="C12" s="353"/>
      <c r="D12" s="353"/>
      <c r="E12" s="17" t="str">
        <f>Дог.!E19</f>
        <v>ХХХ</v>
      </c>
      <c r="F12" s="17" t="str">
        <f>Дог.!F19</f>
        <v>№</v>
      </c>
      <c r="G12" s="354">
        <v>2529296</v>
      </c>
      <c r="H12" s="354"/>
      <c r="I12" s="14" t="str">
        <f>Дог.!I19</f>
        <v>выдан</v>
      </c>
      <c r="J12" s="17" t="str">
        <f>'Пр №1'!J11</f>
        <v>МКК</v>
      </c>
      <c r="K12" s="17" t="str">
        <f>'Пр №1'!K11</f>
        <v>ХХХХ</v>
      </c>
      <c r="L12" s="17" t="str">
        <f>'Пр №1'!L11</f>
        <v>от</v>
      </c>
      <c r="M12" s="100" t="str">
        <f>'Пр №1'!M11</f>
        <v>ХХХХ</v>
      </c>
      <c r="N12" s="353" t="str">
        <f>Дог.!N19</f>
        <v>зарегистрированный(-ая)</v>
      </c>
      <c r="O12" s="353"/>
      <c r="P12" s="353"/>
      <c r="Q12" s="353"/>
    </row>
    <row r="13" spans="1:17" ht="21" x14ac:dyDescent="0.25">
      <c r="A13" s="352" t="s">
        <v>36</v>
      </c>
      <c r="B13" s="352"/>
      <c r="C13" s="299" t="str">
        <f>'Акт расч'!C13:G13</f>
        <v>Чуйская область г. Бишкек</v>
      </c>
      <c r="D13" s="299"/>
      <c r="E13" s="299"/>
      <c r="F13" s="299"/>
      <c r="G13" s="299"/>
      <c r="H13" s="299"/>
      <c r="I13" s="299" t="str">
        <f>'Акт расч'!H13:M13</f>
        <v>ул. ХХХХХ</v>
      </c>
      <c r="J13" s="299"/>
      <c r="K13" s="299"/>
      <c r="L13" s="299"/>
      <c r="M13" s="299"/>
      <c r="N13" s="352" t="s">
        <v>37</v>
      </c>
      <c r="O13" s="352"/>
      <c r="P13" s="352"/>
      <c r="Q13" s="352"/>
    </row>
    <row r="14" spans="1:17" ht="21" x14ac:dyDescent="0.25">
      <c r="A14" s="299" t="str">
        <f>'Акт расч'!A14:E14</f>
        <v>Чуйская область г. Бишкек</v>
      </c>
      <c r="B14" s="299"/>
      <c r="C14" s="299"/>
      <c r="D14" s="299"/>
      <c r="E14" s="299"/>
      <c r="F14" s="299"/>
      <c r="G14" s="299"/>
      <c r="H14" s="299" t="str">
        <f>'Пр №1'!H13:Q13</f>
        <v>ул. ХХХХХ</v>
      </c>
      <c r="I14" s="299"/>
      <c r="J14" s="299"/>
      <c r="K14" s="299"/>
      <c r="L14" s="299"/>
      <c r="M14" s="299"/>
      <c r="N14" s="299"/>
      <c r="O14" s="299"/>
      <c r="P14" s="299"/>
      <c r="Q14" s="299"/>
    </row>
    <row r="15" spans="1:17" ht="21" x14ac:dyDescent="0.25">
      <c r="A15" s="299" t="s">
        <v>252</v>
      </c>
      <c r="B15" s="299"/>
      <c r="C15" s="304" t="str">
        <f>'Пр №1'!C14:F14</f>
        <v>ХХХХ</v>
      </c>
      <c r="D15" s="304"/>
      <c r="E15" s="304"/>
      <c r="F15" s="304"/>
      <c r="G15" s="299" t="s">
        <v>39</v>
      </c>
      <c r="H15" s="299"/>
      <c r="I15" s="299"/>
      <c r="J15" s="299"/>
      <c r="K15" s="299">
        <f>'Пр №1'!K14:P14</f>
        <v>0</v>
      </c>
      <c r="L15" s="299"/>
      <c r="M15" s="299"/>
      <c r="N15" s="299"/>
      <c r="O15" s="299"/>
      <c r="P15" s="299"/>
      <c r="Q15" s="20"/>
    </row>
    <row r="16" spans="1:17" ht="21.75" thickBot="1" x14ac:dyDescent="0.4">
      <c r="A16" s="292" t="s">
        <v>52</v>
      </c>
      <c r="B16" s="292"/>
      <c r="C16" s="292"/>
      <c r="D16" s="292"/>
      <c r="E16" s="292"/>
      <c r="F16" s="292"/>
      <c r="G16" s="292"/>
      <c r="H16" s="292"/>
      <c r="I16" s="292"/>
      <c r="J16" s="292"/>
      <c r="K16" s="292"/>
      <c r="L16" s="292"/>
      <c r="M16" s="292"/>
      <c r="N16" s="292"/>
      <c r="O16" s="292"/>
      <c r="P16" s="292"/>
      <c r="Q16" s="292"/>
    </row>
    <row r="17" spans="1:17" ht="21.75" thickBot="1" x14ac:dyDescent="0.4">
      <c r="A17" s="292" t="s">
        <v>47</v>
      </c>
      <c r="B17" s="292"/>
      <c r="C17" s="292"/>
      <c r="D17" s="292"/>
      <c r="E17" s="5" t="s">
        <v>12</v>
      </c>
      <c r="F17" s="219">
        <f ca="1">K5</f>
        <v>21</v>
      </c>
      <c r="G17" s="220">
        <f ca="1">L5</f>
        <v>11</v>
      </c>
      <c r="H17" s="220">
        <f ca="1">M5</f>
        <v>2025</v>
      </c>
      <c r="I17" s="226">
        <f ca="1">N5</f>
        <v>45982.790570370373</v>
      </c>
      <c r="J17" s="221">
        <f>O5</f>
        <v>1</v>
      </c>
      <c r="K17" s="3" t="s">
        <v>75</v>
      </c>
      <c r="L17" s="3"/>
      <c r="M17" s="3"/>
      <c r="N17" s="3"/>
      <c r="O17" s="3"/>
      <c r="P17" s="3"/>
      <c r="Q17" s="3"/>
    </row>
    <row r="18" spans="1:17" ht="21.75" thickBot="1" x14ac:dyDescent="0.4">
      <c r="A18" s="311" t="s">
        <v>51</v>
      </c>
      <c r="B18" s="311"/>
      <c r="C18" s="311"/>
      <c r="D18" s="311"/>
      <c r="E18" s="311"/>
      <c r="F18" s="311"/>
      <c r="G18" s="311"/>
      <c r="H18" s="311"/>
      <c r="I18" s="311"/>
      <c r="J18" s="5" t="s">
        <v>12</v>
      </c>
      <c r="K18" s="219">
        <f ca="1">K5</f>
        <v>21</v>
      </c>
      <c r="L18" s="220">
        <f ca="1">L5</f>
        <v>11</v>
      </c>
      <c r="M18" s="220">
        <f ca="1">M5</f>
        <v>2025</v>
      </c>
      <c r="N18" s="226">
        <f ca="1">N5</f>
        <v>45982.790570370373</v>
      </c>
      <c r="O18" s="227">
        <f>O5</f>
        <v>1</v>
      </c>
    </row>
    <row r="19" spans="1:17" ht="21" x14ac:dyDescent="0.35">
      <c r="A19" s="307" t="s">
        <v>56</v>
      </c>
      <c r="B19" s="307"/>
      <c r="C19" s="307"/>
      <c r="D19" s="307"/>
      <c r="E19" s="307"/>
      <c r="F19" s="307"/>
      <c r="G19" s="307"/>
      <c r="H19" s="307"/>
      <c r="I19" s="307"/>
      <c r="J19" s="307"/>
      <c r="K19" s="307"/>
      <c r="L19" s="307"/>
      <c r="M19" s="307"/>
      <c r="N19" s="307"/>
      <c r="O19" s="307"/>
    </row>
    <row r="20" spans="1:17" ht="63" x14ac:dyDescent="0.25">
      <c r="A20" s="96" t="s">
        <v>12</v>
      </c>
      <c r="B20" s="389" t="s">
        <v>370</v>
      </c>
      <c r="C20" s="390"/>
      <c r="D20" s="390"/>
      <c r="E20" s="390"/>
      <c r="F20" s="391"/>
      <c r="G20" s="94" t="s">
        <v>276</v>
      </c>
      <c r="H20" s="392" t="s">
        <v>13</v>
      </c>
      <c r="I20" s="392"/>
      <c r="J20" s="95" t="s">
        <v>277</v>
      </c>
      <c r="K20" s="96" t="s">
        <v>278</v>
      </c>
      <c r="L20" s="96" t="s">
        <v>279</v>
      </c>
      <c r="M20" s="96" t="s">
        <v>60</v>
      </c>
      <c r="N20" s="392" t="s">
        <v>61</v>
      </c>
      <c r="O20" s="392"/>
      <c r="P20" s="390" t="s">
        <v>68</v>
      </c>
      <c r="Q20" s="391"/>
    </row>
    <row r="21" spans="1:17" ht="21" x14ac:dyDescent="0.25">
      <c r="A21" s="338">
        <v>1</v>
      </c>
      <c r="B21" s="338" t="str">
        <f>'Пр №1'!B20</f>
        <v>{{TOOL_NAME}}</v>
      </c>
      <c r="C21" s="338"/>
      <c r="D21" s="338"/>
      <c r="E21" s="338"/>
      <c r="F21" s="338"/>
      <c r="G21" s="343">
        <f>'Акт прием'!N21</f>
        <v>35000</v>
      </c>
      <c r="H21" s="490">
        <f ca="1">'Пр №1'!J20</f>
        <v>45982.790570370373</v>
      </c>
      <c r="I21" s="338"/>
      <c r="J21" s="103">
        <f ca="1">'Пр №1'!J20</f>
        <v>45982.790570370373</v>
      </c>
      <c r="K21" s="338">
        <f>'Пр №1'!I20</f>
        <v>1</v>
      </c>
      <c r="L21" s="338">
        <f ca="1">J22-H22</f>
        <v>0</v>
      </c>
      <c r="M21" s="343" t="s">
        <v>64</v>
      </c>
      <c r="N21" s="343">
        <f>'Пр №1'!N20</f>
        <v>1500</v>
      </c>
      <c r="O21" s="343"/>
      <c r="P21" s="343">
        <f ca="1">K21*L21*N21</f>
        <v>0</v>
      </c>
      <c r="Q21" s="338"/>
    </row>
    <row r="22" spans="1:17" ht="21" x14ac:dyDescent="0.25">
      <c r="A22" s="338"/>
      <c r="B22" s="338"/>
      <c r="C22" s="338"/>
      <c r="D22" s="338"/>
      <c r="E22" s="338"/>
      <c r="F22" s="338"/>
      <c r="G22" s="343"/>
      <c r="H22" s="491">
        <f ca="1">'Акт расч'!F21</f>
        <v>45982</v>
      </c>
      <c r="I22" s="338"/>
      <c r="J22" s="104">
        <f ca="1">'Пр №1'!J21</f>
        <v>45982</v>
      </c>
      <c r="K22" s="338"/>
      <c r="L22" s="338"/>
      <c r="M22" s="343"/>
      <c r="N22" s="343"/>
      <c r="O22" s="343"/>
      <c r="P22" s="338"/>
      <c r="Q22" s="338"/>
    </row>
    <row r="23" spans="1:17" ht="21" x14ac:dyDescent="0.25">
      <c r="A23" s="338">
        <v>2</v>
      </c>
      <c r="B23" s="338">
        <f>'Пр №1'!B22</f>
        <v>0</v>
      </c>
      <c r="C23" s="338"/>
      <c r="D23" s="338"/>
      <c r="E23" s="338"/>
      <c r="F23" s="338"/>
      <c r="G23" s="343">
        <f>'Акт прием'!N23</f>
        <v>0</v>
      </c>
      <c r="H23" s="490"/>
      <c r="I23" s="338"/>
      <c r="J23" s="103"/>
      <c r="K23" s="338">
        <f>'Пр №1'!I22</f>
        <v>0</v>
      </c>
      <c r="L23" s="338">
        <f t="shared" ref="L23" si="0">J24-H24</f>
        <v>0</v>
      </c>
      <c r="M23" s="343"/>
      <c r="N23" s="343">
        <f>'Пр №1'!N22</f>
        <v>0</v>
      </c>
      <c r="O23" s="343"/>
      <c r="P23" s="343">
        <f t="shared" ref="P23" si="1">K23*L23*N23</f>
        <v>0</v>
      </c>
      <c r="Q23" s="338"/>
    </row>
    <row r="24" spans="1:17" ht="21" x14ac:dyDescent="0.25">
      <c r="A24" s="338"/>
      <c r="B24" s="338"/>
      <c r="C24" s="338"/>
      <c r="D24" s="338"/>
      <c r="E24" s="338"/>
      <c r="F24" s="338"/>
      <c r="G24" s="343"/>
      <c r="H24" s="491"/>
      <c r="I24" s="338"/>
      <c r="J24" s="104"/>
      <c r="K24" s="338"/>
      <c r="L24" s="338"/>
      <c r="M24" s="343"/>
      <c r="N24" s="343"/>
      <c r="O24" s="343"/>
      <c r="P24" s="338"/>
      <c r="Q24" s="338"/>
    </row>
    <row r="25" spans="1:17" ht="21" x14ac:dyDescent="0.25">
      <c r="A25" s="338">
        <v>3</v>
      </c>
      <c r="B25" s="338">
        <f>'Пр №1'!B24</f>
        <v>0</v>
      </c>
      <c r="C25" s="338"/>
      <c r="D25" s="338"/>
      <c r="E25" s="338"/>
      <c r="F25" s="338"/>
      <c r="G25" s="343">
        <f>'Акт прием'!N25</f>
        <v>0</v>
      </c>
      <c r="H25" s="490"/>
      <c r="I25" s="338"/>
      <c r="J25" s="103"/>
      <c r="K25" s="338">
        <f>'Пр №1'!I24</f>
        <v>0</v>
      </c>
      <c r="L25" s="338">
        <f t="shared" ref="L25" si="2">J26-H26</f>
        <v>0</v>
      </c>
      <c r="M25" s="343"/>
      <c r="N25" s="343">
        <f>'Пр №1'!N24</f>
        <v>0</v>
      </c>
      <c r="O25" s="343"/>
      <c r="P25" s="343">
        <f t="shared" ref="P25" si="3">K25*L25*N25</f>
        <v>0</v>
      </c>
      <c r="Q25" s="338"/>
    </row>
    <row r="26" spans="1:17" ht="21" x14ac:dyDescent="0.25">
      <c r="A26" s="338"/>
      <c r="B26" s="338"/>
      <c r="C26" s="338"/>
      <c r="D26" s="338"/>
      <c r="E26" s="338"/>
      <c r="F26" s="338"/>
      <c r="G26" s="343"/>
      <c r="H26" s="491"/>
      <c r="I26" s="338"/>
      <c r="J26" s="104"/>
      <c r="K26" s="338"/>
      <c r="L26" s="338"/>
      <c r="M26" s="343"/>
      <c r="N26" s="343"/>
      <c r="O26" s="343"/>
      <c r="P26" s="338"/>
      <c r="Q26" s="338"/>
    </row>
    <row r="27" spans="1:17" ht="21" x14ac:dyDescent="0.25">
      <c r="A27" s="338">
        <v>4</v>
      </c>
      <c r="B27" s="338">
        <f>'Пр №1'!B26</f>
        <v>0</v>
      </c>
      <c r="C27" s="338"/>
      <c r="D27" s="338"/>
      <c r="E27" s="338"/>
      <c r="F27" s="338"/>
      <c r="G27" s="343">
        <f>'Акт прием'!N24</f>
        <v>0</v>
      </c>
      <c r="H27" s="490"/>
      <c r="I27" s="338"/>
      <c r="J27" s="103"/>
      <c r="K27" s="338">
        <f>'Пр №1'!I26</f>
        <v>0</v>
      </c>
      <c r="L27" s="338">
        <f t="shared" ref="L27" si="4">J28-H28</f>
        <v>0</v>
      </c>
      <c r="M27" s="343"/>
      <c r="N27" s="343">
        <f>'Пр №1'!N26</f>
        <v>0</v>
      </c>
      <c r="O27" s="343"/>
      <c r="P27" s="343">
        <f t="shared" ref="P27" si="5">K27*L27*N27</f>
        <v>0</v>
      </c>
      <c r="Q27" s="338"/>
    </row>
    <row r="28" spans="1:17" ht="21" x14ac:dyDescent="0.25">
      <c r="A28" s="338"/>
      <c r="B28" s="338"/>
      <c r="C28" s="338"/>
      <c r="D28" s="338"/>
      <c r="E28" s="338"/>
      <c r="F28" s="338"/>
      <c r="G28" s="343"/>
      <c r="H28" s="491"/>
      <c r="I28" s="338"/>
      <c r="J28" s="104"/>
      <c r="K28" s="338"/>
      <c r="L28" s="338"/>
      <c r="M28" s="343"/>
      <c r="N28" s="343"/>
      <c r="O28" s="343"/>
      <c r="P28" s="338"/>
      <c r="Q28" s="338"/>
    </row>
    <row r="29" spans="1:17" ht="21" x14ac:dyDescent="0.25">
      <c r="A29" s="338">
        <v>5</v>
      </c>
      <c r="B29" s="338">
        <f>'Пр №1'!B28</f>
        <v>0</v>
      </c>
      <c r="C29" s="338"/>
      <c r="D29" s="338"/>
      <c r="E29" s="338"/>
      <c r="F29" s="338"/>
      <c r="G29" s="343">
        <f>'Акт прием'!N25</f>
        <v>0</v>
      </c>
      <c r="H29" s="490"/>
      <c r="I29" s="338"/>
      <c r="J29" s="103"/>
      <c r="K29" s="338">
        <f>'Пр №1'!I28</f>
        <v>0</v>
      </c>
      <c r="L29" s="338">
        <f t="shared" ref="L29" si="6">J30-H30</f>
        <v>0</v>
      </c>
      <c r="M29" s="343"/>
      <c r="N29" s="343">
        <f>'Пр №1'!N28</f>
        <v>0</v>
      </c>
      <c r="O29" s="343"/>
      <c r="P29" s="343">
        <f t="shared" ref="P29" si="7">K29*L29*N29</f>
        <v>0</v>
      </c>
      <c r="Q29" s="338"/>
    </row>
    <row r="30" spans="1:17" ht="21" x14ac:dyDescent="0.25">
      <c r="A30" s="338"/>
      <c r="B30" s="338"/>
      <c r="C30" s="338"/>
      <c r="D30" s="338"/>
      <c r="E30" s="338"/>
      <c r="F30" s="338"/>
      <c r="G30" s="343"/>
      <c r="H30" s="491"/>
      <c r="I30" s="338"/>
      <c r="J30" s="104"/>
      <c r="K30" s="338"/>
      <c r="L30" s="338"/>
      <c r="M30" s="343"/>
      <c r="N30" s="343"/>
      <c r="O30" s="343"/>
      <c r="P30" s="338"/>
      <c r="Q30" s="338"/>
    </row>
    <row r="31" spans="1:17" ht="21" x14ac:dyDescent="0.25">
      <c r="A31" s="492"/>
      <c r="B31" s="493"/>
      <c r="C31" s="493"/>
      <c r="D31" s="493"/>
      <c r="E31" s="493"/>
      <c r="F31" s="493"/>
      <c r="G31" s="493"/>
      <c r="H31" s="493"/>
      <c r="I31" s="493"/>
      <c r="J31" s="493"/>
      <c r="K31" s="493"/>
      <c r="L31" s="368"/>
      <c r="M31" s="497" t="s">
        <v>280</v>
      </c>
      <c r="N31" s="499"/>
      <c r="O31" s="500"/>
      <c r="P31" s="497">
        <f ca="1">SUM(P21:Q30)</f>
        <v>0</v>
      </c>
      <c r="Q31" s="498"/>
    </row>
    <row r="32" spans="1:17" ht="21" x14ac:dyDescent="0.25">
      <c r="A32" s="278" t="s">
        <v>605</v>
      </c>
      <c r="B32" s="278"/>
      <c r="C32" s="278"/>
      <c r="D32" s="278"/>
      <c r="E32" s="278"/>
      <c r="F32" s="278"/>
      <c r="G32" s="278"/>
      <c r="H32" s="494">
        <f ca="1">P31</f>
        <v>0</v>
      </c>
      <c r="I32" s="495"/>
      <c r="J32" s="495"/>
      <c r="K32" s="105"/>
      <c r="L32" s="105"/>
      <c r="M32" s="106"/>
      <c r="N32" s="106"/>
      <c r="O32" s="106"/>
      <c r="P32" s="107"/>
      <c r="Q32" s="107"/>
    </row>
    <row r="33" spans="1:17" ht="21" x14ac:dyDescent="0.35">
      <c r="A33" s="496" t="s">
        <v>281</v>
      </c>
      <c r="B33" s="310"/>
      <c r="C33" s="310"/>
      <c r="D33" s="310"/>
      <c r="E33" s="310"/>
      <c r="F33" s="310"/>
      <c r="G33" s="310"/>
      <c r="H33" s="310"/>
      <c r="I33" s="310"/>
      <c r="J33" s="310"/>
      <c r="K33" s="310"/>
      <c r="L33" s="310"/>
      <c r="M33" s="310"/>
      <c r="N33" s="310"/>
      <c r="O33" s="310"/>
      <c r="P33" s="310"/>
      <c r="Q33" s="310"/>
    </row>
    <row r="34" spans="1:17" ht="21" x14ac:dyDescent="0.35">
      <c r="A34" s="310" t="s">
        <v>282</v>
      </c>
      <c r="B34" s="310"/>
      <c r="C34" s="310"/>
      <c r="D34" s="310"/>
      <c r="E34" s="310"/>
      <c r="F34" s="310"/>
      <c r="G34" s="310"/>
      <c r="H34" s="310"/>
      <c r="I34" s="310"/>
      <c r="J34" s="310"/>
      <c r="K34" s="310"/>
      <c r="L34" s="310"/>
      <c r="M34" s="310"/>
      <c r="N34" s="310"/>
      <c r="O34" s="310"/>
      <c r="P34" s="310"/>
      <c r="Q34" s="310"/>
    </row>
    <row r="35" spans="1:17" ht="21" x14ac:dyDescent="0.35">
      <c r="A35" s="310" t="s">
        <v>606</v>
      </c>
      <c r="B35" s="310"/>
      <c r="C35" s="310"/>
      <c r="D35" s="310"/>
      <c r="E35" s="310"/>
      <c r="F35" s="310"/>
      <c r="G35" s="310"/>
      <c r="H35" s="310"/>
      <c r="I35" s="310"/>
      <c r="J35" s="310"/>
      <c r="K35" s="310"/>
      <c r="L35" s="310"/>
      <c r="M35" s="310"/>
      <c r="N35" s="310"/>
      <c r="O35" s="310"/>
      <c r="P35" s="310"/>
      <c r="Q35" s="310"/>
    </row>
    <row r="36" spans="1:17" ht="21" customHeight="1" x14ac:dyDescent="0.35">
      <c r="A36" s="310" t="s">
        <v>362</v>
      </c>
      <c r="B36" s="310"/>
      <c r="C36" s="310"/>
      <c r="D36" s="310"/>
      <c r="E36" s="310"/>
      <c r="F36" s="310"/>
      <c r="G36" s="310"/>
      <c r="H36" s="310"/>
      <c r="I36" s="310"/>
      <c r="J36" s="310"/>
      <c r="K36" s="310"/>
      <c r="L36" s="310"/>
      <c r="M36" s="310"/>
      <c r="N36" s="310"/>
      <c r="O36" s="310"/>
      <c r="P36" s="310"/>
      <c r="Q36" s="310"/>
    </row>
    <row r="37" spans="1:17" ht="21" x14ac:dyDescent="0.35">
      <c r="A37" s="310"/>
      <c r="B37" s="310"/>
      <c r="C37" s="310"/>
      <c r="D37" s="310"/>
      <c r="E37" s="310"/>
      <c r="F37" s="310"/>
      <c r="G37" s="310"/>
      <c r="H37" s="310"/>
      <c r="I37" s="310"/>
      <c r="J37" s="310"/>
      <c r="K37" s="310"/>
      <c r="L37" s="310"/>
      <c r="M37" s="310"/>
      <c r="N37" s="310"/>
      <c r="O37" s="310"/>
      <c r="P37" s="310"/>
      <c r="Q37" s="310"/>
    </row>
    <row r="39" spans="1:17" ht="21" x14ac:dyDescent="0.35">
      <c r="A39" s="296" t="s">
        <v>6</v>
      </c>
      <c r="B39" s="296"/>
      <c r="C39" s="296"/>
      <c r="D39" s="296"/>
      <c r="E39" s="296"/>
      <c r="F39" s="296"/>
      <c r="G39" s="296"/>
      <c r="H39" s="296"/>
      <c r="I39" s="296"/>
      <c r="J39" s="296"/>
      <c r="K39" s="296"/>
      <c r="L39" s="296"/>
      <c r="M39" s="296"/>
      <c r="N39" s="296"/>
      <c r="O39" s="296"/>
    </row>
    <row r="40" spans="1:17" ht="21" x14ac:dyDescent="0.35">
      <c r="A40" s="296" t="s">
        <v>45</v>
      </c>
      <c r="B40" s="296"/>
      <c r="C40" s="296"/>
      <c r="D40" s="296"/>
      <c r="E40" s="296"/>
      <c r="F40" s="296"/>
      <c r="G40" s="296"/>
      <c r="H40" s="1"/>
      <c r="I40" s="1"/>
      <c r="J40" s="296" t="s">
        <v>44</v>
      </c>
      <c r="K40" s="296"/>
      <c r="L40" s="296"/>
      <c r="M40" s="296"/>
      <c r="N40" s="296"/>
      <c r="O40" s="296"/>
      <c r="P40" s="296"/>
    </row>
    <row r="41" spans="1:17" ht="21" x14ac:dyDescent="0.35">
      <c r="A41" s="3" t="s">
        <v>10</v>
      </c>
      <c r="B41" s="307" t="str">
        <f>'Пр №1'!B50:G50</f>
        <v>Зинченко Михаил Александрович</v>
      </c>
      <c r="C41" s="307"/>
      <c r="D41" s="307"/>
      <c r="E41" s="307"/>
      <c r="F41" s="307"/>
      <c r="G41" s="307"/>
      <c r="H41" s="3"/>
      <c r="I41" s="3"/>
      <c r="J41" s="307" t="str">
        <f>'Счет '!J47:K47</f>
        <v>Ф.И.О.:</v>
      </c>
      <c r="K41" s="307"/>
      <c r="L41" s="307" t="str">
        <f>'Пр №1'!L50:Q50</f>
        <v>{{CLIENT_FULLNAME}}</v>
      </c>
      <c r="M41" s="307"/>
      <c r="N41" s="307"/>
      <c r="O41" s="307"/>
      <c r="P41" s="307"/>
      <c r="Q41" s="307"/>
    </row>
    <row r="42" spans="1:17" ht="21" x14ac:dyDescent="0.35">
      <c r="A42" s="3" t="s">
        <v>28</v>
      </c>
      <c r="B42" s="323">
        <f>'Пр №1'!B51:G51</f>
        <v>22212200650516</v>
      </c>
      <c r="C42" s="323"/>
      <c r="D42" s="323"/>
      <c r="E42" s="323"/>
      <c r="F42" s="323"/>
      <c r="G42" s="323"/>
      <c r="H42" s="3"/>
      <c r="I42" s="12"/>
      <c r="J42" s="323" t="str">
        <f>'Счет '!J48:K48</f>
        <v>ПИН:</v>
      </c>
      <c r="K42" s="323"/>
      <c r="L42" s="323" t="str">
        <f>'Пр №1'!L51:P51</f>
        <v>ХХХХ</v>
      </c>
      <c r="M42" s="323"/>
      <c r="N42" s="323"/>
      <c r="O42" s="323"/>
      <c r="P42" s="323"/>
      <c r="Q42" s="23"/>
    </row>
    <row r="43" spans="1:17" ht="21" x14ac:dyDescent="0.35">
      <c r="A43" s="307" t="s">
        <v>29</v>
      </c>
      <c r="B43" s="307"/>
      <c r="C43" s="13" t="str">
        <f>'Пр №1'!C52</f>
        <v>ID</v>
      </c>
      <c r="D43" s="13" t="s">
        <v>12</v>
      </c>
      <c r="E43" s="307">
        <f>'Пр №1'!E52:G52</f>
        <v>1706490</v>
      </c>
      <c r="F43" s="307"/>
      <c r="G43" s="307"/>
      <c r="H43" s="3"/>
      <c r="I43" s="3"/>
      <c r="J43" s="307" t="str">
        <f>'Счет '!J49:K49</f>
        <v>Паспорт:</v>
      </c>
      <c r="K43" s="307"/>
      <c r="L43" s="13" t="str">
        <f>'Пр №1'!L52</f>
        <v>ХХХ</v>
      </c>
      <c r="M43" s="13" t="s">
        <v>12</v>
      </c>
      <c r="N43" s="307" t="str">
        <f>'Пр №1'!N52:O52</f>
        <v>ХХХХХ</v>
      </c>
      <c r="O43" s="307"/>
      <c r="P43" s="3"/>
    </row>
    <row r="44" spans="1:17" ht="21" x14ac:dyDescent="0.35">
      <c r="A44" s="307" t="s">
        <v>30</v>
      </c>
      <c r="B44" s="307"/>
      <c r="C44" s="292" t="str">
        <f>'Пр №1'!C53:G53</f>
        <v>МКК 211041 от 05.06.2020</v>
      </c>
      <c r="D44" s="292"/>
      <c r="E44" s="292"/>
      <c r="F44" s="292"/>
      <c r="G44" s="292"/>
      <c r="H44" s="16"/>
      <c r="I44" s="3"/>
      <c r="J44" s="307" t="str">
        <f>'Счет '!J50:K50</f>
        <v>Выдан:</v>
      </c>
      <c r="K44" s="307"/>
      <c r="L44" s="3" t="str">
        <f>'Пр №1'!L53</f>
        <v>МКК</v>
      </c>
      <c r="M44" s="3" t="str">
        <f>'Пр №1'!M53</f>
        <v>ХХХХ</v>
      </c>
      <c r="N44" s="13" t="str">
        <f>'Пр №1'!N53</f>
        <v>от</v>
      </c>
      <c r="O44" s="374" t="str">
        <f>'Пр №1'!O53</f>
        <v>ХХХХ</v>
      </c>
      <c r="P44" s="292"/>
    </row>
    <row r="45" spans="1:17" ht="21" x14ac:dyDescent="0.35">
      <c r="A45" s="307" t="s">
        <v>31</v>
      </c>
      <c r="B45" s="307"/>
      <c r="C45" s="307" t="str">
        <f>'Пр №1'!C54:G54</f>
        <v>г. Бишкек</v>
      </c>
      <c r="D45" s="307"/>
      <c r="E45" s="307"/>
      <c r="F45" s="307"/>
      <c r="G45" s="307"/>
      <c r="H45" s="11"/>
      <c r="I45" s="3"/>
      <c r="J45" s="307" t="str">
        <f>'Счет '!J51:K51</f>
        <v>Адрес:</v>
      </c>
      <c r="K45" s="307"/>
      <c r="L45" s="307" t="str">
        <f>'Пр №1'!L54:Q54</f>
        <v>Чуйская область г. Бишкек</v>
      </c>
      <c r="M45" s="307"/>
      <c r="N45" s="307"/>
      <c r="O45" s="307"/>
      <c r="P45" s="307"/>
      <c r="Q45" s="307"/>
    </row>
    <row r="46" spans="1:17" ht="21" x14ac:dyDescent="0.35">
      <c r="A46" s="307" t="str">
        <f>'Пр №1'!A55:G55</f>
        <v>ул. Ялтинская д. №  56</v>
      </c>
      <c r="B46" s="307"/>
      <c r="C46" s="307"/>
      <c r="D46" s="307"/>
      <c r="E46" s="307"/>
      <c r="F46" s="307"/>
      <c r="G46" s="307"/>
      <c r="H46" s="3"/>
      <c r="I46" s="3"/>
      <c r="J46" s="307" t="str">
        <f>'Пр №1'!J55:P55</f>
        <v>ул. ХХХХХ</v>
      </c>
      <c r="K46" s="307"/>
      <c r="L46" s="307"/>
      <c r="M46" s="307"/>
      <c r="N46" s="307"/>
      <c r="O46" s="307"/>
      <c r="P46" s="307"/>
      <c r="Q46" s="307"/>
    </row>
    <row r="47" spans="1:17" ht="21" x14ac:dyDescent="0.35">
      <c r="A47" s="307" t="s">
        <v>32</v>
      </c>
      <c r="B47" s="307"/>
      <c r="C47" s="307"/>
      <c r="D47" s="307">
        <f>'Пр №1'!D56:G56</f>
        <v>720051</v>
      </c>
      <c r="E47" s="307"/>
      <c r="F47" s="307"/>
      <c r="G47" s="307"/>
      <c r="H47" s="11"/>
      <c r="I47" s="3"/>
      <c r="J47" s="307" t="str">
        <f>'Счет '!J53:L53</f>
        <v>Почтовый индекс:</v>
      </c>
      <c r="K47" s="307"/>
      <c r="L47" s="307"/>
      <c r="M47" s="307">
        <f>'Пр №1'!M56:N56</f>
        <v>0</v>
      </c>
      <c r="N47" s="307"/>
      <c r="O47" s="3"/>
      <c r="P47" s="3"/>
    </row>
    <row r="48" spans="1:17" ht="21" x14ac:dyDescent="0.35">
      <c r="A48" s="307" t="s">
        <v>7</v>
      </c>
      <c r="B48" s="307"/>
      <c r="C48" s="307"/>
      <c r="D48" s="307"/>
      <c r="E48" s="307"/>
      <c r="F48" s="307"/>
      <c r="G48" s="307"/>
      <c r="H48" s="3"/>
      <c r="I48" s="3"/>
      <c r="J48" s="307" t="str">
        <f>'Счет '!J54:P54</f>
        <v>Банковские реквизиты:</v>
      </c>
      <c r="K48" s="307"/>
      <c r="L48" s="307"/>
      <c r="M48" s="307"/>
      <c r="N48" s="307"/>
      <c r="O48" s="307"/>
      <c r="P48" s="307"/>
    </row>
    <row r="49" spans="1:16" ht="21" x14ac:dyDescent="0.35">
      <c r="A49" s="307" t="str">
        <f>'Пр №1'!A58:G58</f>
        <v>ОАО Комерческий банк Кыргызстан</v>
      </c>
      <c r="B49" s="307"/>
      <c r="C49" s="307"/>
      <c r="D49" s="307"/>
      <c r="E49" s="307"/>
      <c r="F49" s="307"/>
      <c r="G49" s="307"/>
      <c r="H49" s="3"/>
      <c r="I49" s="3"/>
      <c r="J49" s="307">
        <f>'Пр №1'!J58:P58</f>
        <v>0</v>
      </c>
      <c r="K49" s="307"/>
      <c r="L49" s="307"/>
      <c r="M49" s="307"/>
      <c r="N49" s="307"/>
      <c r="O49" s="307"/>
      <c r="P49" s="307"/>
    </row>
    <row r="50" spans="1:16" ht="21" x14ac:dyDescent="0.35">
      <c r="A50" s="3" t="s">
        <v>49</v>
      </c>
      <c r="B50" s="323" t="str">
        <f>'Пр №1'!B59:G59</f>
        <v>"1030120300369929"</v>
      </c>
      <c r="C50" s="323"/>
      <c r="D50" s="323"/>
      <c r="E50" s="323"/>
      <c r="F50" s="323"/>
      <c r="G50" s="323"/>
      <c r="H50" s="3"/>
      <c r="I50" s="3"/>
      <c r="J50" s="3" t="str">
        <f>'Счет '!J56</f>
        <v>р/c:</v>
      </c>
      <c r="K50" s="323">
        <f>'Пр №1'!K59:P59</f>
        <v>0</v>
      </c>
      <c r="L50" s="323"/>
      <c r="M50" s="323"/>
      <c r="N50" s="323"/>
      <c r="O50" s="323"/>
      <c r="P50" s="323"/>
    </row>
    <row r="51" spans="1:16" ht="21" x14ac:dyDescent="0.35">
      <c r="A51" s="3" t="s">
        <v>9</v>
      </c>
      <c r="B51" s="307">
        <f>'Пр №1'!B60:G60</f>
        <v>103001</v>
      </c>
      <c r="C51" s="307"/>
      <c r="D51" s="307"/>
      <c r="E51" s="307"/>
      <c r="F51" s="307"/>
      <c r="G51" s="307"/>
      <c r="H51" s="3"/>
      <c r="I51" s="3"/>
      <c r="J51" s="3" t="str">
        <f>'Счет '!J57</f>
        <v>БИК:</v>
      </c>
      <c r="K51" s="307">
        <f>'Пр №1'!K60:P60</f>
        <v>0</v>
      </c>
      <c r="L51" s="307"/>
      <c r="M51" s="307"/>
      <c r="N51" s="307"/>
      <c r="O51" s="307"/>
      <c r="P51" s="307"/>
    </row>
    <row r="52" spans="1:16" ht="21" x14ac:dyDescent="0.35">
      <c r="A52" s="307" t="str">
        <f>'Пр №1'!A61:G61</f>
        <v>УГНС 003 Свердловского района</v>
      </c>
      <c r="B52" s="307"/>
      <c r="C52" s="307"/>
      <c r="D52" s="307"/>
      <c r="E52" s="307"/>
      <c r="F52" s="307"/>
      <c r="G52" s="307"/>
      <c r="H52" s="3"/>
      <c r="I52" s="3"/>
      <c r="J52" s="307" t="str">
        <f>'Счет '!J58:P58</f>
        <v>УГНС 000</v>
      </c>
      <c r="K52" s="307"/>
      <c r="L52" s="307"/>
      <c r="M52" s="307"/>
      <c r="N52" s="307"/>
      <c r="O52" s="307"/>
      <c r="P52" s="307"/>
    </row>
    <row r="53" spans="1:16" ht="21" x14ac:dyDescent="0.35">
      <c r="A53" s="3" t="str">
        <f>'Пр №1'!A62</f>
        <v>ОКПО:</v>
      </c>
      <c r="B53" s="292">
        <f>'Пр №1'!B62</f>
        <v>32282661</v>
      </c>
      <c r="C53" s="29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 ht="21" x14ac:dyDescent="0.35">
      <c r="A54" s="292" t="str">
        <f>'Счет '!A60:C60</f>
        <v>Зинченко М. А.</v>
      </c>
      <c r="B54" s="292"/>
      <c r="C54" s="292"/>
      <c r="D54" s="292" t="str">
        <f>'Счет '!D60:F60</f>
        <v>________________________</v>
      </c>
      <c r="E54" s="292"/>
      <c r="F54" s="292"/>
      <c r="G54" s="3"/>
      <c r="H54" s="3"/>
      <c r="I54" s="3"/>
      <c r="J54" s="292" t="e">
        <f>'Пр №1'!J63:L63</f>
        <v>#VALUE!</v>
      </c>
      <c r="K54" s="292"/>
      <c r="L54" s="292"/>
      <c r="M54" s="307" t="s">
        <v>33</v>
      </c>
      <c r="N54" s="307"/>
      <c r="O54" s="307"/>
      <c r="P54" s="307"/>
    </row>
    <row r="55" spans="1:16" ht="21" x14ac:dyDescent="0.35">
      <c r="A55" s="3"/>
      <c r="B55" s="3"/>
      <c r="C55" s="3"/>
      <c r="D55" s="316" t="str">
        <f>'Счет '!D61:F61</f>
        <v>(подпись)</v>
      </c>
      <c r="E55" s="316"/>
      <c r="F55" s="316"/>
      <c r="G55" s="37"/>
      <c r="H55" s="37"/>
      <c r="I55" s="37"/>
      <c r="J55" s="37"/>
      <c r="K55" s="37"/>
      <c r="L55" s="37"/>
      <c r="M55" s="316">
        <f>'Счет '!M61:P61</f>
        <v>0</v>
      </c>
      <c r="N55" s="316"/>
      <c r="O55" s="316"/>
      <c r="P55" s="316"/>
    </row>
    <row r="56" spans="1:16" ht="21" x14ac:dyDescent="0.35">
      <c r="A56" s="9" t="str">
        <f>'Пр №1'!A65</f>
        <v xml:space="preserve"> «</v>
      </c>
      <c r="B56" s="15">
        <f ca="1">'Пр №1'!B65</f>
        <v>21</v>
      </c>
      <c r="C56" s="10" t="str">
        <f>'Пр №1'!C65</f>
        <v>»</v>
      </c>
      <c r="D56" s="337" t="str">
        <f ca="1">'Пр №1'!D65:E65</f>
        <v>Ноябрь</v>
      </c>
      <c r="E56" s="337"/>
      <c r="F56" s="10">
        <f ca="1">'Пр №1'!F65</f>
        <v>2025</v>
      </c>
      <c r="G56" s="10" t="str">
        <f>'Пр №1'!G65</f>
        <v>г.</v>
      </c>
      <c r="H56" s="9"/>
      <c r="I56" s="15"/>
      <c r="J56" s="5" t="str">
        <f>A56</f>
        <v xml:space="preserve"> «</v>
      </c>
      <c r="K56" s="5">
        <f ca="1">B56</f>
        <v>21</v>
      </c>
      <c r="L56" s="1" t="str">
        <f>C56</f>
        <v>»</v>
      </c>
      <c r="M56" s="296" t="str">
        <f ca="1">D56</f>
        <v>Ноябрь</v>
      </c>
      <c r="N56" s="296"/>
      <c r="O56" s="1">
        <f ca="1">F56</f>
        <v>2025</v>
      </c>
      <c r="P56" s="1" t="str">
        <f>G56</f>
        <v>г.</v>
      </c>
    </row>
    <row r="57" spans="1:16" ht="21" x14ac:dyDescent="0.35">
      <c r="A57" s="292" t="s">
        <v>26</v>
      </c>
      <c r="B57" s="292"/>
      <c r="C57" s="292" t="str">
        <f>'Пр №1'!C66:G66</f>
        <v xml:space="preserve"> +996 (555) 147 688</v>
      </c>
      <c r="D57" s="292"/>
      <c r="E57" s="292"/>
      <c r="F57" s="292"/>
      <c r="G57" s="292"/>
      <c r="H57" s="3"/>
      <c r="I57" s="3"/>
      <c r="J57" s="292" t="s">
        <v>26</v>
      </c>
      <c r="K57" s="292"/>
      <c r="L57" s="335" t="str">
        <f>'Пр №1'!L66:P66</f>
        <v>{{CLIENT_PHONE}}</v>
      </c>
      <c r="M57" s="335"/>
      <c r="N57" s="335"/>
      <c r="O57" s="335"/>
      <c r="P57" s="335"/>
    </row>
  </sheetData>
  <mergeCells count="145">
    <mergeCell ref="A37:Q37"/>
    <mergeCell ref="A31:L31"/>
    <mergeCell ref="A32:G32"/>
    <mergeCell ref="H32:J32"/>
    <mergeCell ref="A33:Q33"/>
    <mergeCell ref="A34:Q34"/>
    <mergeCell ref="A35:Q35"/>
    <mergeCell ref="A36:Q36"/>
    <mergeCell ref="P31:Q31"/>
    <mergeCell ref="M31:O31"/>
    <mergeCell ref="A29:A30"/>
    <mergeCell ref="B29:F30"/>
    <mergeCell ref="G29:G30"/>
    <mergeCell ref="H29:I29"/>
    <mergeCell ref="K29:K30"/>
    <mergeCell ref="L29:L30"/>
    <mergeCell ref="M29:M30"/>
    <mergeCell ref="N29:O30"/>
    <mergeCell ref="P29:Q30"/>
    <mergeCell ref="H30:I30"/>
    <mergeCell ref="N25:O26"/>
    <mergeCell ref="P25:Q26"/>
    <mergeCell ref="H26:I26"/>
    <mergeCell ref="A27:A28"/>
    <mergeCell ref="B27:F28"/>
    <mergeCell ref="G27:G28"/>
    <mergeCell ref="H27:I27"/>
    <mergeCell ref="K27:K28"/>
    <mergeCell ref="L27:L28"/>
    <mergeCell ref="M27:M28"/>
    <mergeCell ref="N27:O28"/>
    <mergeCell ref="P27:Q28"/>
    <mergeCell ref="H28:I28"/>
    <mergeCell ref="H14:Q14"/>
    <mergeCell ref="A14:G14"/>
    <mergeCell ref="A15:B15"/>
    <mergeCell ref="C15:F15"/>
    <mergeCell ref="G15:J15"/>
    <mergeCell ref="K15:P15"/>
    <mergeCell ref="O44:P44"/>
    <mergeCell ref="B20:F20"/>
    <mergeCell ref="H20:I20"/>
    <mergeCell ref="N20:O20"/>
    <mergeCell ref="P20:Q20"/>
    <mergeCell ref="A21:A22"/>
    <mergeCell ref="B21:F22"/>
    <mergeCell ref="G21:G22"/>
    <mergeCell ref="H21:I21"/>
    <mergeCell ref="K21:K22"/>
    <mergeCell ref="L21:L22"/>
    <mergeCell ref="M21:M22"/>
    <mergeCell ref="N21:O22"/>
    <mergeCell ref="P21:Q22"/>
    <mergeCell ref="H22:I22"/>
    <mergeCell ref="A23:A24"/>
    <mergeCell ref="B23:F24"/>
    <mergeCell ref="G23:G24"/>
    <mergeCell ref="D56:E56"/>
    <mergeCell ref="M56:N56"/>
    <mergeCell ref="A57:B57"/>
    <mergeCell ref="C57:G57"/>
    <mergeCell ref="J57:K57"/>
    <mergeCell ref="L57:P57"/>
    <mergeCell ref="B51:G51"/>
    <mergeCell ref="K51:P51"/>
    <mergeCell ref="A52:G52"/>
    <mergeCell ref="J52:P52"/>
    <mergeCell ref="J54:L54"/>
    <mergeCell ref="M54:P54"/>
    <mergeCell ref="A54:C54"/>
    <mergeCell ref="D54:F54"/>
    <mergeCell ref="M55:P55"/>
    <mergeCell ref="D55:F55"/>
    <mergeCell ref="B53:C53"/>
    <mergeCell ref="A48:G48"/>
    <mergeCell ref="J48:P48"/>
    <mergeCell ref="A49:G49"/>
    <mergeCell ref="J49:P49"/>
    <mergeCell ref="B50:G50"/>
    <mergeCell ref="K50:P50"/>
    <mergeCell ref="A46:G46"/>
    <mergeCell ref="J46:Q46"/>
    <mergeCell ref="A47:C47"/>
    <mergeCell ref="D47:G47"/>
    <mergeCell ref="J47:L47"/>
    <mergeCell ref="M47:N47"/>
    <mergeCell ref="A44:B44"/>
    <mergeCell ref="C44:G44"/>
    <mergeCell ref="J44:K44"/>
    <mergeCell ref="A45:B45"/>
    <mergeCell ref="C45:G45"/>
    <mergeCell ref="J45:K45"/>
    <mergeCell ref="L45:Q45"/>
    <mergeCell ref="B42:G42"/>
    <mergeCell ref="J42:K42"/>
    <mergeCell ref="L42:P42"/>
    <mergeCell ref="A43:B43"/>
    <mergeCell ref="E43:G43"/>
    <mergeCell ref="J43:K43"/>
    <mergeCell ref="N43:O43"/>
    <mergeCell ref="A39:O39"/>
    <mergeCell ref="A40:G40"/>
    <mergeCell ref="J40:P40"/>
    <mergeCell ref="B41:G41"/>
    <mergeCell ref="J41:K41"/>
    <mergeCell ref="L41:Q41"/>
    <mergeCell ref="A16:Q16"/>
    <mergeCell ref="A17:D17"/>
    <mergeCell ref="A18:I18"/>
    <mergeCell ref="A19:O19"/>
    <mergeCell ref="H23:I23"/>
    <mergeCell ref="K23:K24"/>
    <mergeCell ref="L23:L24"/>
    <mergeCell ref="M23:M24"/>
    <mergeCell ref="N23:O24"/>
    <mergeCell ref="P23:Q24"/>
    <mergeCell ref="H24:I24"/>
    <mergeCell ref="A25:A26"/>
    <mergeCell ref="B25:F26"/>
    <mergeCell ref="G25:G26"/>
    <mergeCell ref="H25:I25"/>
    <mergeCell ref="K25:K26"/>
    <mergeCell ref="L25:L26"/>
    <mergeCell ref="M25:M26"/>
    <mergeCell ref="A5:I5"/>
    <mergeCell ref="B6:E6"/>
    <mergeCell ref="L6:M6"/>
    <mergeCell ref="A3:Q3"/>
    <mergeCell ref="A4:Q4"/>
    <mergeCell ref="A13:B13"/>
    <mergeCell ref="N13:Q13"/>
    <mergeCell ref="A8:Q8"/>
    <mergeCell ref="A9:Q9"/>
    <mergeCell ref="A11:H11"/>
    <mergeCell ref="I11:Q11"/>
    <mergeCell ref="A12:D12"/>
    <mergeCell ref="G12:H12"/>
    <mergeCell ref="N12:Q12"/>
    <mergeCell ref="H10:Q10"/>
    <mergeCell ref="A7:F7"/>
    <mergeCell ref="G7:Q7"/>
    <mergeCell ref="I13:M13"/>
    <mergeCell ref="C13:H13"/>
    <mergeCell ref="A10:B10"/>
    <mergeCell ref="C10:G10"/>
  </mergeCells>
  <pageMargins left="0.32" right="0.32" top="0.28000000000000003" bottom="0.41" header="0.3" footer="0.3"/>
  <pageSetup paperSize="9" scale="4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7">
    <pageSetUpPr fitToPage="1"/>
  </sheetPr>
  <dimension ref="A3:Q66"/>
  <sheetViews>
    <sheetView showZeros="0" topLeftCell="A42" zoomScale="80" zoomScaleNormal="80" workbookViewId="0">
      <selection activeCell="N35" sqref="N35:Q35"/>
    </sheetView>
  </sheetViews>
  <sheetFormatPr defaultRowHeight="15" x14ac:dyDescent="0.25"/>
  <cols>
    <col min="6" max="6" width="8.85546875" customWidth="1"/>
    <col min="7" max="7" width="25.5703125" customWidth="1"/>
    <col min="8" max="8" width="17.85546875" customWidth="1"/>
    <col min="10" max="10" width="18.7109375" customWidth="1"/>
    <col min="11" max="11" width="12.85546875" customWidth="1"/>
    <col min="13" max="13" width="16" bestFit="1" customWidth="1"/>
    <col min="15" max="15" width="11.42578125" customWidth="1"/>
    <col min="16" max="16" width="9.140625" customWidth="1"/>
    <col min="17" max="17" width="14.5703125" customWidth="1"/>
  </cols>
  <sheetData>
    <row r="3" spans="1:17" ht="26.25" x14ac:dyDescent="0.4">
      <c r="A3" s="351" t="s">
        <v>27</v>
      </c>
      <c r="B3" s="351"/>
      <c r="C3" s="351"/>
      <c r="D3" s="351"/>
      <c r="E3" s="351"/>
      <c r="F3" s="351"/>
      <c r="G3" s="351"/>
      <c r="H3" s="351"/>
      <c r="I3" s="351"/>
      <c r="J3" s="351"/>
      <c r="K3" s="351"/>
      <c r="L3" s="351"/>
      <c r="M3" s="351"/>
      <c r="N3" s="351"/>
      <c r="O3" s="351"/>
      <c r="P3" s="351"/>
      <c r="Q3" s="351"/>
    </row>
    <row r="4" spans="1:17" ht="27" thickBot="1" x14ac:dyDescent="0.45">
      <c r="A4" s="351" t="s">
        <v>50</v>
      </c>
      <c r="B4" s="351"/>
      <c r="C4" s="351"/>
      <c r="D4" s="351"/>
      <c r="E4" s="351"/>
      <c r="F4" s="351"/>
      <c r="G4" s="351"/>
      <c r="H4" s="351"/>
      <c r="I4" s="351"/>
      <c r="J4" s="351"/>
      <c r="K4" s="351"/>
      <c r="L4" s="351"/>
      <c r="M4" s="351"/>
      <c r="N4" s="351"/>
      <c r="O4" s="351"/>
      <c r="P4" s="351"/>
      <c r="Q4" s="351"/>
    </row>
    <row r="5" spans="1:17" ht="21.75" thickBot="1" x14ac:dyDescent="0.4">
      <c r="A5" s="356"/>
      <c r="B5" s="356"/>
      <c r="C5" s="356"/>
      <c r="D5" s="356"/>
      <c r="E5" s="356"/>
      <c r="F5" s="356"/>
      <c r="G5" s="356"/>
      <c r="H5" s="356"/>
      <c r="I5" s="356"/>
      <c r="J5" s="5" t="s">
        <v>12</v>
      </c>
      <c r="K5" s="219">
        <f ca="1">'Пр №1'!J3</f>
        <v>21</v>
      </c>
      <c r="L5" s="220">
        <f ca="1">'Пр №1'!K3</f>
        <v>11</v>
      </c>
      <c r="M5" s="220">
        <f ca="1">'Пр №1'!L3</f>
        <v>2025</v>
      </c>
      <c r="N5" s="226">
        <f ca="1">'Пр №1'!M3</f>
        <v>45982.790570370373</v>
      </c>
      <c r="O5" s="227">
        <f>'Акт возв'!O5</f>
        <v>1</v>
      </c>
    </row>
    <row r="6" spans="1:17" ht="21" x14ac:dyDescent="0.35">
      <c r="A6" s="1"/>
      <c r="B6" s="296" t="str">
        <f>Дог.!B13</f>
        <v xml:space="preserve">г. Бишкек </v>
      </c>
      <c r="C6" s="296"/>
      <c r="D6" s="296"/>
      <c r="E6" s="296"/>
      <c r="F6" s="1"/>
      <c r="G6" s="1"/>
      <c r="H6" s="1"/>
      <c r="I6" s="7" t="str">
        <f>'Пр №1'!I5</f>
        <v xml:space="preserve"> «</v>
      </c>
      <c r="J6" s="5">
        <f ca="1">'Пр №1'!J5</f>
        <v>21</v>
      </c>
      <c r="K6" s="1" t="str">
        <f>'Пр №1'!K5</f>
        <v>»</v>
      </c>
      <c r="L6" s="296" t="str">
        <f ca="1">'Пр №1'!L5</f>
        <v>Ноябрь</v>
      </c>
      <c r="M6" s="296"/>
      <c r="N6" s="1">
        <f ca="1">'Пр №1'!N5</f>
        <v>2025</v>
      </c>
      <c r="O6" s="1" t="str">
        <f>'Пр №1'!O5</f>
        <v>г.</v>
      </c>
    </row>
    <row r="7" spans="1:17" ht="21" x14ac:dyDescent="0.35">
      <c r="A7" s="305" t="str">
        <f>'Акт возв'!A7:E7</f>
        <v>Зинченко Михаил Александрович</v>
      </c>
      <c r="B7" s="305"/>
      <c r="C7" s="305"/>
      <c r="D7" s="305"/>
      <c r="E7" s="305"/>
      <c r="F7" s="305"/>
      <c r="G7" s="355" t="str">
        <f>'Акт возв'!G7:Q7</f>
        <v>22.12.2006 года рождения, паспорт: ID3219844 выдан MKK 218011от 12.02.2023 г.</v>
      </c>
      <c r="H7" s="355"/>
      <c r="I7" s="355"/>
      <c r="J7" s="355"/>
      <c r="K7" s="355"/>
      <c r="L7" s="355"/>
      <c r="M7" s="355"/>
      <c r="N7" s="355"/>
      <c r="O7" s="355"/>
      <c r="P7" s="355"/>
      <c r="Q7" s="355"/>
    </row>
    <row r="8" spans="1:17" ht="21" x14ac:dyDescent="0.35">
      <c r="A8" s="353" t="str">
        <f>'Пр №1'!A7:Q7</f>
        <v>зарегистрированный по адресу город Бишкек, улица Ялтинская 56/1, действующий на основании Свидетельства о государственной</v>
      </c>
      <c r="B8" s="353"/>
      <c r="C8" s="353"/>
      <c r="D8" s="353"/>
      <c r="E8" s="353"/>
      <c r="F8" s="353"/>
      <c r="G8" s="353"/>
      <c r="H8" s="353"/>
      <c r="I8" s="353"/>
      <c r="J8" s="353"/>
      <c r="K8" s="353"/>
      <c r="L8" s="353"/>
      <c r="M8" s="353"/>
      <c r="N8" s="353"/>
      <c r="O8" s="353"/>
      <c r="P8" s="353"/>
      <c r="Q8" s="353"/>
    </row>
    <row r="9" spans="1:17" ht="21" x14ac:dyDescent="0.35">
      <c r="A9" s="353" t="str">
        <f>'Пр №1'!A8:Q8</f>
        <v>регистрации индивидуального предпринимателя по Свердловскому району г. Бишкек № 003-2024-169-5930 от 08.08.2024</v>
      </c>
      <c r="B9" s="353"/>
      <c r="C9" s="353"/>
      <c r="D9" s="353"/>
      <c r="E9" s="353"/>
      <c r="F9" s="353"/>
      <c r="G9" s="353"/>
      <c r="H9" s="353"/>
      <c r="I9" s="353"/>
      <c r="J9" s="353"/>
      <c r="K9" s="353"/>
      <c r="L9" s="353"/>
      <c r="M9" s="353"/>
      <c r="N9" s="353"/>
      <c r="O9" s="353"/>
      <c r="P9" s="353"/>
      <c r="Q9" s="353"/>
    </row>
    <row r="10" spans="1:17" ht="21" x14ac:dyDescent="0.25">
      <c r="A10" s="352" t="str">
        <f>'Акт возв'!A10:G10</f>
        <v>ИНН:</v>
      </c>
      <c r="B10" s="352"/>
      <c r="C10" s="303">
        <f>'Пр №1'!C9:G9</f>
        <v>22212200650516</v>
      </c>
      <c r="D10" s="352"/>
      <c r="E10" s="352"/>
      <c r="F10" s="352"/>
      <c r="G10" s="352"/>
      <c r="H10" s="352" t="s">
        <v>84</v>
      </c>
      <c r="I10" s="352"/>
      <c r="J10" s="352"/>
      <c r="K10" s="352"/>
      <c r="L10" s="352"/>
      <c r="M10" s="352"/>
      <c r="N10" s="352"/>
      <c r="O10" s="352"/>
      <c r="P10" s="352"/>
      <c r="Q10" s="352"/>
    </row>
    <row r="11" spans="1:17" ht="21" x14ac:dyDescent="0.35">
      <c r="A11" s="322" t="str">
        <f>Дог.!A18</f>
        <v>{{CLIENT_FULLNAME}}</v>
      </c>
      <c r="B11" s="322"/>
      <c r="C11" s="322"/>
      <c r="D11" s="322"/>
      <c r="E11" s="322"/>
      <c r="F11" s="322"/>
      <c r="G11" s="322"/>
      <c r="H11" s="322"/>
      <c r="I11" s="352" t="s">
        <v>72</v>
      </c>
      <c r="J11" s="352"/>
      <c r="K11" s="352"/>
      <c r="L11" s="352"/>
      <c r="M11" s="352"/>
      <c r="N11" s="352"/>
      <c r="O11" s="352"/>
      <c r="P11" s="352"/>
      <c r="Q11" s="352"/>
    </row>
    <row r="12" spans="1:17" ht="21" x14ac:dyDescent="0.35">
      <c r="A12" s="353" t="str">
        <f>Дог.!A19</f>
        <v xml:space="preserve"> на основании паспорта:</v>
      </c>
      <c r="B12" s="353"/>
      <c r="C12" s="353"/>
      <c r="D12" s="353"/>
      <c r="E12" s="17" t="str">
        <f>Дог.!E19</f>
        <v>ХХХ</v>
      </c>
      <c r="F12" s="17" t="str">
        <f>Дог.!F19</f>
        <v>№</v>
      </c>
      <c r="G12" s="354" t="str">
        <f>Дог.!G19</f>
        <v>ХХХХХ</v>
      </c>
      <c r="H12" s="354"/>
      <c r="I12" s="14" t="str">
        <f>Дог.!I19</f>
        <v>выдан</v>
      </c>
      <c r="J12" s="17" t="str">
        <f>Дог.!J19</f>
        <v>МКК</v>
      </c>
      <c r="K12" s="17" t="str">
        <f>'Пр №1'!K11</f>
        <v>ХХХХ</v>
      </c>
      <c r="L12" s="17" t="str">
        <f>'Пр №1'!L11</f>
        <v>от</v>
      </c>
      <c r="M12" s="100" t="str">
        <f>'Пр №1'!M11</f>
        <v>ХХХХ</v>
      </c>
      <c r="N12" s="353" t="str">
        <f>Дог.!N19</f>
        <v>зарегистрированный(-ая)</v>
      </c>
      <c r="O12" s="353"/>
      <c r="P12" s="353"/>
      <c r="Q12" s="353"/>
    </row>
    <row r="13" spans="1:17" ht="21" x14ac:dyDescent="0.25">
      <c r="A13" s="352" t="s">
        <v>36</v>
      </c>
      <c r="B13" s="352"/>
      <c r="C13" s="299" t="str">
        <f>'Акт возв'!C13:G13</f>
        <v>Чуйская область г. Бишкек</v>
      </c>
      <c r="D13" s="299"/>
      <c r="E13" s="299"/>
      <c r="F13" s="299"/>
      <c r="G13" s="299"/>
      <c r="H13" s="299"/>
      <c r="I13" s="299" t="str">
        <f>'Акт возв'!H13:M13</f>
        <v>ул. ХХХХХ</v>
      </c>
      <c r="J13" s="299"/>
      <c r="K13" s="299"/>
      <c r="L13" s="299"/>
      <c r="M13" s="299"/>
      <c r="N13" s="352" t="s">
        <v>37</v>
      </c>
      <c r="O13" s="352"/>
      <c r="P13" s="352"/>
      <c r="Q13" s="352"/>
    </row>
    <row r="14" spans="1:17" ht="21" x14ac:dyDescent="0.25">
      <c r="A14" s="299" t="str">
        <f>'Акт возв'!A14:E14</f>
        <v>Чуйская область г. Бишкек</v>
      </c>
      <c r="B14" s="299"/>
      <c r="C14" s="299"/>
      <c r="D14" s="299"/>
      <c r="E14" s="299"/>
      <c r="F14" s="299"/>
      <c r="G14" s="299"/>
      <c r="H14" s="299" t="str">
        <f>'Пр №1'!H13:Q13</f>
        <v>ул. ХХХХХ</v>
      </c>
      <c r="I14" s="299"/>
      <c r="J14" s="299"/>
      <c r="K14" s="299"/>
      <c r="L14" s="299"/>
      <c r="M14" s="299"/>
      <c r="N14" s="299"/>
      <c r="O14" s="299"/>
      <c r="P14" s="299"/>
      <c r="Q14" s="299"/>
    </row>
    <row r="15" spans="1:17" ht="21" x14ac:dyDescent="0.25">
      <c r="A15" s="299" t="s">
        <v>252</v>
      </c>
      <c r="B15" s="299"/>
      <c r="C15" s="304" t="str">
        <f>'Пр №1'!C14:F14</f>
        <v>ХХХХ</v>
      </c>
      <c r="D15" s="304"/>
      <c r="E15" s="304"/>
      <c r="F15" s="304"/>
      <c r="G15" s="299" t="s">
        <v>39</v>
      </c>
      <c r="H15" s="299"/>
      <c r="I15" s="299"/>
      <c r="J15" s="299"/>
      <c r="K15" s="299">
        <f>'Пр №1'!K14:P14</f>
        <v>0</v>
      </c>
      <c r="L15" s="299"/>
      <c r="M15" s="299"/>
      <c r="N15" s="299"/>
      <c r="O15" s="299"/>
      <c r="P15" s="299"/>
      <c r="Q15" s="20"/>
    </row>
    <row r="16" spans="1:17" ht="21.75" thickBot="1" x14ac:dyDescent="0.4">
      <c r="A16" s="292" t="s">
        <v>52</v>
      </c>
      <c r="B16" s="292"/>
      <c r="C16" s="292"/>
      <c r="D16" s="292"/>
      <c r="E16" s="292"/>
      <c r="F16" s="292"/>
      <c r="G16" s="292"/>
      <c r="H16" s="292"/>
      <c r="I16" s="292"/>
      <c r="J16" s="292"/>
      <c r="K16" s="292"/>
      <c r="L16" s="292"/>
      <c r="M16" s="292"/>
      <c r="N16" s="292"/>
      <c r="O16" s="292"/>
      <c r="P16" s="292"/>
      <c r="Q16" s="292"/>
    </row>
    <row r="17" spans="1:17" ht="21.75" thickBot="1" x14ac:dyDescent="0.4">
      <c r="A17" s="292" t="s">
        <v>47</v>
      </c>
      <c r="B17" s="292"/>
      <c r="C17" s="292"/>
      <c r="D17" s="292"/>
      <c r="E17" s="5" t="s">
        <v>12</v>
      </c>
      <c r="F17" s="219">
        <f ca="1">K5</f>
        <v>21</v>
      </c>
      <c r="G17" s="220">
        <f ca="1">L5</f>
        <v>11</v>
      </c>
      <c r="H17" s="220">
        <f ca="1">M5</f>
        <v>2025</v>
      </c>
      <c r="I17" s="226">
        <f ca="1">N5</f>
        <v>45982.790570370373</v>
      </c>
      <c r="J17" s="221">
        <f>O5</f>
        <v>1</v>
      </c>
      <c r="K17" s="3" t="s">
        <v>75</v>
      </c>
      <c r="L17" s="3"/>
      <c r="M17" s="3"/>
      <c r="N17" s="3"/>
      <c r="O17" s="3"/>
      <c r="P17" s="3"/>
      <c r="Q17" s="3"/>
    </row>
    <row r="18" spans="1:17" ht="21.75" thickBot="1" x14ac:dyDescent="0.4">
      <c r="A18" s="353" t="s">
        <v>51</v>
      </c>
      <c r="B18" s="353"/>
      <c r="C18" s="353"/>
      <c r="D18" s="353"/>
      <c r="E18" s="353"/>
      <c r="F18" s="353"/>
      <c r="G18" s="353"/>
      <c r="H18" s="353"/>
      <c r="I18" s="353"/>
      <c r="J18" s="5" t="s">
        <v>12</v>
      </c>
      <c r="K18" s="219">
        <f ca="1">K5</f>
        <v>21</v>
      </c>
      <c r="L18" s="220">
        <f ca="1">L5</f>
        <v>11</v>
      </c>
      <c r="M18" s="220">
        <f ca="1">M5</f>
        <v>2025</v>
      </c>
      <c r="N18" s="226">
        <f ca="1">N5</f>
        <v>45982.790570370373</v>
      </c>
      <c r="O18" s="227">
        <f>O5</f>
        <v>1</v>
      </c>
    </row>
    <row r="19" spans="1:17" ht="21" x14ac:dyDescent="0.35">
      <c r="A19" s="307" t="s">
        <v>56</v>
      </c>
      <c r="B19" s="307"/>
      <c r="C19" s="307"/>
      <c r="D19" s="307"/>
      <c r="E19" s="307"/>
      <c r="F19" s="307"/>
      <c r="G19" s="307"/>
      <c r="H19" s="307"/>
      <c r="I19" s="307"/>
      <c r="J19" s="307"/>
      <c r="K19" s="307"/>
      <c r="L19" s="307"/>
      <c r="M19" s="307"/>
      <c r="N19" s="307"/>
      <c r="O19" s="307"/>
    </row>
    <row r="20" spans="1:17" ht="63" x14ac:dyDescent="0.25">
      <c r="A20" s="96" t="s">
        <v>12</v>
      </c>
      <c r="B20" s="389" t="s">
        <v>370</v>
      </c>
      <c r="C20" s="390"/>
      <c r="D20" s="390"/>
      <c r="E20" s="390"/>
      <c r="F20" s="391"/>
      <c r="G20" s="94" t="s">
        <v>276</v>
      </c>
      <c r="H20" s="392" t="s">
        <v>13</v>
      </c>
      <c r="I20" s="392"/>
      <c r="J20" s="95" t="s">
        <v>277</v>
      </c>
      <c r="K20" s="96" t="s">
        <v>278</v>
      </c>
      <c r="L20" s="96" t="s">
        <v>279</v>
      </c>
      <c r="M20" s="96" t="s">
        <v>60</v>
      </c>
      <c r="N20" s="392" t="s">
        <v>61</v>
      </c>
      <c r="O20" s="392"/>
      <c r="P20" s="390" t="s">
        <v>68</v>
      </c>
      <c r="Q20" s="391"/>
    </row>
    <row r="21" spans="1:17" ht="21" x14ac:dyDescent="0.25">
      <c r="A21" s="338">
        <v>1</v>
      </c>
      <c r="B21" s="338" t="str">
        <f>'Акт возв'!B21:F22</f>
        <v>{{TOOL_NAME}}</v>
      </c>
      <c r="C21" s="338"/>
      <c r="D21" s="338"/>
      <c r="E21" s="338"/>
      <c r="F21" s="338"/>
      <c r="G21" s="343">
        <f>'Акт прием'!N21</f>
        <v>35000</v>
      </c>
      <c r="H21" s="490">
        <f ca="1">'Пр №1'!J20</f>
        <v>45982.790570370373</v>
      </c>
      <c r="I21" s="338"/>
      <c r="J21" s="103">
        <f ca="1">'Пр №1'!J20</f>
        <v>45982.790570370373</v>
      </c>
      <c r="K21" s="338">
        <f>'Акт возв'!K21:K22</f>
        <v>1</v>
      </c>
      <c r="L21" s="338">
        <f ca="1">J22-H22</f>
        <v>0</v>
      </c>
      <c r="M21" s="343" t="s">
        <v>64</v>
      </c>
      <c r="N21" s="343">
        <f>'Пр №1'!N20</f>
        <v>1500</v>
      </c>
      <c r="O21" s="343"/>
      <c r="P21" s="343">
        <f ca="1">K21*L21*N21</f>
        <v>0</v>
      </c>
      <c r="Q21" s="338"/>
    </row>
    <row r="22" spans="1:17" ht="21" x14ac:dyDescent="0.25">
      <c r="A22" s="338"/>
      <c r="B22" s="338"/>
      <c r="C22" s="338"/>
      <c r="D22" s="338"/>
      <c r="E22" s="338"/>
      <c r="F22" s="338"/>
      <c r="G22" s="343"/>
      <c r="H22" s="491">
        <f ca="1">'Пр №1'!J21</f>
        <v>45982</v>
      </c>
      <c r="I22" s="338"/>
      <c r="J22" s="104">
        <f ca="1">'Пр №1'!J21</f>
        <v>45982</v>
      </c>
      <c r="K22" s="338"/>
      <c r="L22" s="338"/>
      <c r="M22" s="343"/>
      <c r="N22" s="343"/>
      <c r="O22" s="343"/>
      <c r="P22" s="338"/>
      <c r="Q22" s="338"/>
    </row>
    <row r="23" spans="1:17" ht="21" x14ac:dyDescent="0.25">
      <c r="A23" s="338">
        <v>2</v>
      </c>
      <c r="B23" s="338">
        <f>'Акт возв'!B23:F24</f>
        <v>0</v>
      </c>
      <c r="C23" s="338"/>
      <c r="D23" s="338"/>
      <c r="E23" s="338"/>
      <c r="F23" s="338"/>
      <c r="G23" s="343">
        <f>'Акт прием'!N22</f>
        <v>0</v>
      </c>
      <c r="H23" s="490"/>
      <c r="I23" s="338"/>
      <c r="J23" s="103"/>
      <c r="K23" s="338">
        <f>'Акт возв'!K23:K24</f>
        <v>0</v>
      </c>
      <c r="L23" s="338"/>
      <c r="M23" s="343"/>
      <c r="N23" s="343">
        <f>'Пр №1'!N22</f>
        <v>0</v>
      </c>
      <c r="O23" s="343"/>
      <c r="P23" s="343"/>
      <c r="Q23" s="338"/>
    </row>
    <row r="24" spans="1:17" ht="21" x14ac:dyDescent="0.25">
      <c r="A24" s="338"/>
      <c r="B24" s="338"/>
      <c r="C24" s="338"/>
      <c r="D24" s="338"/>
      <c r="E24" s="338"/>
      <c r="F24" s="338"/>
      <c r="G24" s="343"/>
      <c r="H24" s="491"/>
      <c r="I24" s="338"/>
      <c r="J24" s="104"/>
      <c r="K24" s="338"/>
      <c r="L24" s="338"/>
      <c r="M24" s="343"/>
      <c r="N24" s="343"/>
      <c r="O24" s="343"/>
      <c r="P24" s="338"/>
      <c r="Q24" s="338"/>
    </row>
    <row r="25" spans="1:17" ht="21" x14ac:dyDescent="0.25">
      <c r="A25" s="338">
        <v>3</v>
      </c>
      <c r="B25" s="338">
        <f>'Акт возв'!B25:F26</f>
        <v>0</v>
      </c>
      <c r="C25" s="338"/>
      <c r="D25" s="338"/>
      <c r="E25" s="338"/>
      <c r="F25" s="338"/>
      <c r="G25" s="343">
        <f>'Акт прием'!N23</f>
        <v>0</v>
      </c>
      <c r="H25" s="490"/>
      <c r="I25" s="338"/>
      <c r="J25" s="103"/>
      <c r="K25" s="338">
        <f>'Акт возв'!K25:K26</f>
        <v>0</v>
      </c>
      <c r="L25" s="338"/>
      <c r="M25" s="343"/>
      <c r="N25" s="343">
        <f>'Пр №1'!N24</f>
        <v>0</v>
      </c>
      <c r="O25" s="343"/>
      <c r="P25" s="343"/>
      <c r="Q25" s="338"/>
    </row>
    <row r="26" spans="1:17" ht="21" x14ac:dyDescent="0.25">
      <c r="A26" s="338"/>
      <c r="B26" s="338"/>
      <c r="C26" s="338"/>
      <c r="D26" s="338"/>
      <c r="E26" s="338"/>
      <c r="F26" s="338"/>
      <c r="G26" s="343"/>
      <c r="H26" s="491"/>
      <c r="I26" s="338"/>
      <c r="J26" s="104"/>
      <c r="K26" s="338"/>
      <c r="L26" s="338"/>
      <c r="M26" s="343"/>
      <c r="N26" s="343"/>
      <c r="O26" s="343"/>
      <c r="P26" s="338"/>
      <c r="Q26" s="338"/>
    </row>
    <row r="27" spans="1:17" ht="21" x14ac:dyDescent="0.25">
      <c r="A27" s="338">
        <v>4</v>
      </c>
      <c r="B27" s="338">
        <f>'Акт возв'!B27:F28</f>
        <v>0</v>
      </c>
      <c r="C27" s="338"/>
      <c r="D27" s="338"/>
      <c r="E27" s="338"/>
      <c r="F27" s="338"/>
      <c r="G27" s="343">
        <f>'Акт прием'!N24</f>
        <v>0</v>
      </c>
      <c r="H27" s="490"/>
      <c r="I27" s="338"/>
      <c r="J27" s="103"/>
      <c r="K27" s="338">
        <f>'Акт возв'!K27:K28</f>
        <v>0</v>
      </c>
      <c r="L27" s="338"/>
      <c r="M27" s="343"/>
      <c r="N27" s="343">
        <f>'Пр №1'!N26</f>
        <v>0</v>
      </c>
      <c r="O27" s="343"/>
      <c r="P27" s="343"/>
      <c r="Q27" s="338"/>
    </row>
    <row r="28" spans="1:17" ht="21" x14ac:dyDescent="0.25">
      <c r="A28" s="338"/>
      <c r="B28" s="338"/>
      <c r="C28" s="338"/>
      <c r="D28" s="338"/>
      <c r="E28" s="338"/>
      <c r="F28" s="338"/>
      <c r="G28" s="343"/>
      <c r="H28" s="491"/>
      <c r="I28" s="338"/>
      <c r="J28" s="104"/>
      <c r="K28" s="338"/>
      <c r="L28" s="338"/>
      <c r="M28" s="343"/>
      <c r="N28" s="343"/>
      <c r="O28" s="343"/>
      <c r="P28" s="338"/>
      <c r="Q28" s="338"/>
    </row>
    <row r="29" spans="1:17" ht="21" x14ac:dyDescent="0.25">
      <c r="A29" s="338">
        <v>5</v>
      </c>
      <c r="B29" s="338">
        <f>'Акт возв'!B29:F30</f>
        <v>0</v>
      </c>
      <c r="C29" s="338"/>
      <c r="D29" s="338"/>
      <c r="E29" s="338"/>
      <c r="F29" s="338"/>
      <c r="G29" s="343">
        <f>'Акт прием'!N25</f>
        <v>0</v>
      </c>
      <c r="H29" s="490"/>
      <c r="I29" s="338"/>
      <c r="J29" s="103"/>
      <c r="K29" s="338">
        <f>'Акт возв'!K29:K30</f>
        <v>0</v>
      </c>
      <c r="L29" s="338"/>
      <c r="M29" s="343"/>
      <c r="N29" s="343">
        <f>'Пр №1'!N28</f>
        <v>0</v>
      </c>
      <c r="O29" s="343"/>
      <c r="P29" s="343"/>
      <c r="Q29" s="338"/>
    </row>
    <row r="30" spans="1:17" ht="21" x14ac:dyDescent="0.25">
      <c r="A30" s="338"/>
      <c r="B30" s="338"/>
      <c r="C30" s="338"/>
      <c r="D30" s="338"/>
      <c r="E30" s="338"/>
      <c r="F30" s="338"/>
      <c r="G30" s="343"/>
      <c r="H30" s="491"/>
      <c r="I30" s="338"/>
      <c r="J30" s="104"/>
      <c r="K30" s="338"/>
      <c r="L30" s="338"/>
      <c r="M30" s="343"/>
      <c r="N30" s="343"/>
      <c r="O30" s="343"/>
      <c r="P30" s="338"/>
      <c r="Q30" s="338"/>
    </row>
    <row r="31" spans="1:17" ht="21" x14ac:dyDescent="0.25">
      <c r="A31" s="512"/>
      <c r="B31" s="513"/>
      <c r="C31" s="513"/>
      <c r="D31" s="513"/>
      <c r="E31" s="513"/>
      <c r="F31" s="513"/>
      <c r="G31" s="513"/>
      <c r="H31" s="513"/>
      <c r="I31" s="513"/>
      <c r="J31" s="513"/>
      <c r="K31" s="513"/>
      <c r="L31" s="514"/>
      <c r="M31" s="497" t="s">
        <v>280</v>
      </c>
      <c r="N31" s="499"/>
      <c r="O31" s="500"/>
      <c r="P31" s="497">
        <f ca="1">SUM(P21:Q30)</f>
        <v>0</v>
      </c>
      <c r="Q31" s="498"/>
    </row>
    <row r="32" spans="1:17" ht="21" x14ac:dyDescent="0.25">
      <c r="A32" s="278" t="s">
        <v>605</v>
      </c>
      <c r="B32" s="278"/>
      <c r="C32" s="278"/>
      <c r="D32" s="278"/>
      <c r="E32" s="278"/>
      <c r="F32" s="278"/>
      <c r="G32" s="278"/>
      <c r="H32" s="494">
        <f ca="1">P31</f>
        <v>0</v>
      </c>
      <c r="I32" s="495"/>
      <c r="J32" s="495"/>
      <c r="K32" s="105"/>
      <c r="L32" s="105"/>
      <c r="M32" s="106"/>
      <c r="N32" s="106"/>
      <c r="O32" s="106"/>
      <c r="P32" s="107"/>
      <c r="Q32" s="107"/>
    </row>
    <row r="33" spans="1:17" ht="21" x14ac:dyDescent="0.35">
      <c r="A33" s="306" t="s">
        <v>58</v>
      </c>
      <c r="B33" s="306"/>
      <c r="C33" s="306"/>
      <c r="D33" s="306"/>
      <c r="E33" s="306"/>
      <c r="F33" s="306"/>
      <c r="G33" s="306"/>
      <c r="H33" s="306"/>
      <c r="I33" s="306"/>
      <c r="J33" s="306"/>
      <c r="K33" s="306"/>
      <c r="L33" s="306"/>
      <c r="M33" s="306"/>
      <c r="N33" s="306"/>
      <c r="O33" s="306"/>
      <c r="P33" s="306"/>
      <c r="Q33" s="306"/>
    </row>
    <row r="34" spans="1:17" ht="40.5" customHeight="1" x14ac:dyDescent="0.25">
      <c r="A34" s="25" t="s">
        <v>12</v>
      </c>
      <c r="B34" s="377" t="s">
        <v>370</v>
      </c>
      <c r="C34" s="378"/>
      <c r="D34" s="378"/>
      <c r="E34" s="378"/>
      <c r="F34" s="379"/>
      <c r="G34" s="377" t="s">
        <v>607</v>
      </c>
      <c r="H34" s="378"/>
      <c r="I34" s="378"/>
      <c r="J34" s="378"/>
      <c r="K34" s="378"/>
      <c r="L34" s="378"/>
      <c r="M34" s="379"/>
      <c r="N34" s="392" t="s">
        <v>70</v>
      </c>
      <c r="O34" s="392"/>
      <c r="P34" s="392"/>
      <c r="Q34" s="392"/>
    </row>
    <row r="35" spans="1:17" ht="21" x14ac:dyDescent="0.35">
      <c r="A35" s="4">
        <v>1</v>
      </c>
      <c r="B35" s="380" t="str">
        <f>B21</f>
        <v>{{TOOL_NAME}}</v>
      </c>
      <c r="C35" s="381"/>
      <c r="D35" s="381"/>
      <c r="E35" s="381"/>
      <c r="F35" s="382"/>
      <c r="G35" s="510"/>
      <c r="H35" s="511"/>
      <c r="I35" s="511"/>
      <c r="J35" s="511"/>
      <c r="K35" s="511"/>
      <c r="L35" s="511"/>
      <c r="M35" s="498"/>
      <c r="N35" s="501">
        <v>3500</v>
      </c>
      <c r="O35" s="501"/>
      <c r="P35" s="501"/>
      <c r="Q35" s="501"/>
    </row>
    <row r="36" spans="1:17" ht="21" x14ac:dyDescent="0.35">
      <c r="A36" s="4">
        <v>2</v>
      </c>
      <c r="B36" s="380">
        <f t="shared" ref="B36:B37" si="0">B22</f>
        <v>0</v>
      </c>
      <c r="C36" s="381"/>
      <c r="D36" s="381"/>
      <c r="E36" s="381"/>
      <c r="F36" s="382"/>
      <c r="G36" s="510">
        <f t="shared" ref="G36:G37" si="1">K22</f>
        <v>0</v>
      </c>
      <c r="H36" s="511"/>
      <c r="I36" s="511"/>
      <c r="J36" s="511"/>
      <c r="K36" s="511"/>
      <c r="L36" s="511"/>
      <c r="M36" s="498"/>
      <c r="N36" s="326"/>
      <c r="O36" s="326"/>
      <c r="P36" s="326"/>
      <c r="Q36" s="326"/>
    </row>
    <row r="37" spans="1:17" ht="21" x14ac:dyDescent="0.35">
      <c r="A37" s="4">
        <v>3</v>
      </c>
      <c r="B37" s="380">
        <f t="shared" si="0"/>
        <v>0</v>
      </c>
      <c r="C37" s="381"/>
      <c r="D37" s="381"/>
      <c r="E37" s="381"/>
      <c r="F37" s="382"/>
      <c r="G37" s="510">
        <f t="shared" si="1"/>
        <v>0</v>
      </c>
      <c r="H37" s="511"/>
      <c r="I37" s="511"/>
      <c r="J37" s="511"/>
      <c r="K37" s="511"/>
      <c r="L37" s="511"/>
      <c r="M37" s="498"/>
      <c r="N37" s="326"/>
      <c r="O37" s="326"/>
      <c r="P37" s="326"/>
      <c r="Q37" s="326"/>
    </row>
    <row r="38" spans="1:17" ht="21" x14ac:dyDescent="0.35">
      <c r="A38" s="4">
        <v>4</v>
      </c>
      <c r="B38" s="380"/>
      <c r="C38" s="381"/>
      <c r="D38" s="381"/>
      <c r="E38" s="381"/>
      <c r="F38" s="382"/>
      <c r="G38" s="510"/>
      <c r="H38" s="511"/>
      <c r="I38" s="511"/>
      <c r="J38" s="511"/>
      <c r="K38" s="511"/>
      <c r="L38" s="511"/>
      <c r="M38" s="498"/>
      <c r="N38" s="502"/>
      <c r="O38" s="349"/>
      <c r="P38" s="349"/>
      <c r="Q38" s="350"/>
    </row>
    <row r="39" spans="1:17" ht="21" x14ac:dyDescent="0.35">
      <c r="A39" s="4">
        <v>5</v>
      </c>
      <c r="B39" s="380">
        <f>B24</f>
        <v>0</v>
      </c>
      <c r="C39" s="381"/>
      <c r="D39" s="381"/>
      <c r="E39" s="381"/>
      <c r="F39" s="382"/>
      <c r="G39" s="510">
        <f>K24</f>
        <v>0</v>
      </c>
      <c r="H39" s="511"/>
      <c r="I39" s="511"/>
      <c r="J39" s="511"/>
      <c r="K39" s="511"/>
      <c r="L39" s="511"/>
      <c r="M39" s="498"/>
      <c r="N39" s="326"/>
      <c r="O39" s="326"/>
      <c r="P39" s="326"/>
      <c r="Q39" s="326"/>
    </row>
    <row r="40" spans="1:17" ht="21" x14ac:dyDescent="0.35">
      <c r="A40" s="503"/>
      <c r="B40" s="503"/>
      <c r="C40" s="503"/>
      <c r="D40" s="503"/>
      <c r="E40" s="503"/>
      <c r="F40" s="503"/>
      <c r="G40" s="503"/>
      <c r="H40" s="503"/>
      <c r="I40" s="503"/>
      <c r="J40" s="503"/>
      <c r="K40" s="503"/>
      <c r="L40" s="376" t="s">
        <v>14</v>
      </c>
      <c r="M40" s="376"/>
      <c r="N40" s="326">
        <f>SUM(N35:Q39)</f>
        <v>3500</v>
      </c>
      <c r="O40" s="326"/>
      <c r="P40" s="326"/>
      <c r="Q40" s="326"/>
    </row>
    <row r="41" spans="1:17" ht="21.75" thickBot="1" x14ac:dyDescent="0.4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17"/>
      <c r="M41" s="117"/>
      <c r="N41" s="83"/>
      <c r="O41" s="83"/>
      <c r="P41" s="83"/>
      <c r="Q41" s="83"/>
    </row>
    <row r="42" spans="1:17" ht="21.75" thickBot="1" x14ac:dyDescent="0.4">
      <c r="A42" s="311" t="s">
        <v>545</v>
      </c>
      <c r="B42" s="311"/>
      <c r="C42" s="311"/>
      <c r="D42" s="311"/>
      <c r="E42" s="311"/>
      <c r="F42" s="311"/>
      <c r="G42" s="311"/>
      <c r="H42" s="311"/>
      <c r="I42" s="5" t="s">
        <v>12</v>
      </c>
      <c r="J42" s="219">
        <f ca="1">K18</f>
        <v>21</v>
      </c>
      <c r="K42" s="220">
        <f ca="1">L18</f>
        <v>11</v>
      </c>
      <c r="L42" s="24">
        <f ca="1">M18</f>
        <v>2025</v>
      </c>
      <c r="M42" s="228">
        <f ca="1">N18</f>
        <v>45982.790570370373</v>
      </c>
      <c r="N42" s="221">
        <f>O18</f>
        <v>1</v>
      </c>
      <c r="O42" s="506" t="s">
        <v>534</v>
      </c>
      <c r="P42" s="507"/>
      <c r="Q42" s="507"/>
    </row>
    <row r="43" spans="1:17" ht="21" x14ac:dyDescent="0.35">
      <c r="A43" s="311" t="s">
        <v>667</v>
      </c>
      <c r="B43" s="311"/>
      <c r="C43" s="311"/>
      <c r="D43" s="311"/>
      <c r="E43" s="311"/>
      <c r="F43" s="311"/>
      <c r="G43" s="311"/>
      <c r="H43" s="311"/>
      <c r="I43" s="311"/>
      <c r="J43" s="504">
        <f>N40</f>
        <v>3500</v>
      </c>
      <c r="K43" s="505"/>
      <c r="L43" s="505"/>
      <c r="M43" s="505"/>
      <c r="N43" s="505"/>
      <c r="O43" s="505"/>
      <c r="P43" s="505"/>
      <c r="Q43" s="505"/>
    </row>
    <row r="44" spans="1:17" ht="21" x14ac:dyDescent="0.35">
      <c r="A44" s="311" t="s">
        <v>608</v>
      </c>
      <c r="B44" s="311"/>
      <c r="C44" s="311"/>
      <c r="D44" s="311"/>
      <c r="E44" s="311"/>
      <c r="F44" s="311"/>
      <c r="G44" s="311"/>
      <c r="H44" s="311"/>
      <c r="I44" s="311"/>
      <c r="J44" s="508">
        <f>J43</f>
        <v>3500</v>
      </c>
      <c r="K44" s="509"/>
      <c r="L44" s="509"/>
      <c r="M44" s="18"/>
      <c r="N44" s="18"/>
      <c r="O44" s="18"/>
      <c r="P44" s="18"/>
      <c r="Q44" s="18"/>
    </row>
    <row r="45" spans="1:17" ht="21" x14ac:dyDescent="0.35">
      <c r="A45" s="311" t="s">
        <v>314</v>
      </c>
      <c r="B45" s="311"/>
      <c r="C45" s="311"/>
      <c r="D45" s="311"/>
      <c r="E45" s="311"/>
      <c r="F45" s="311"/>
      <c r="G45" s="311"/>
      <c r="H45" s="311"/>
      <c r="I45" s="311"/>
      <c r="J45" s="311"/>
      <c r="K45" s="311"/>
      <c r="L45" s="311"/>
      <c r="M45" s="311"/>
      <c r="N45" s="311"/>
      <c r="O45" s="311"/>
      <c r="P45" s="311"/>
      <c r="Q45" s="311"/>
    </row>
    <row r="46" spans="1:17" ht="21" x14ac:dyDescent="0.35">
      <c r="A46" s="311"/>
      <c r="B46" s="311"/>
      <c r="C46" s="311"/>
      <c r="D46" s="311"/>
      <c r="E46" s="311"/>
      <c r="F46" s="311"/>
      <c r="G46" s="311"/>
      <c r="H46" s="311"/>
      <c r="I46" s="311"/>
      <c r="J46" s="311"/>
      <c r="K46" s="311"/>
      <c r="L46" s="311"/>
      <c r="M46" s="311"/>
      <c r="N46" s="311"/>
      <c r="O46" s="311"/>
      <c r="P46" s="311"/>
      <c r="Q46" s="311"/>
    </row>
    <row r="48" spans="1:17" ht="21" x14ac:dyDescent="0.35">
      <c r="A48" s="296" t="s">
        <v>6</v>
      </c>
      <c r="B48" s="296"/>
      <c r="C48" s="296"/>
      <c r="D48" s="296"/>
      <c r="E48" s="296"/>
      <c r="F48" s="296"/>
      <c r="G48" s="296"/>
      <c r="H48" s="296"/>
      <c r="I48" s="296"/>
      <c r="J48" s="296"/>
      <c r="K48" s="296"/>
      <c r="L48" s="296"/>
      <c r="M48" s="296"/>
      <c r="N48" s="296"/>
      <c r="O48" s="296"/>
    </row>
    <row r="49" spans="1:17" ht="21" x14ac:dyDescent="0.35">
      <c r="A49" s="296" t="s">
        <v>45</v>
      </c>
      <c r="B49" s="296"/>
      <c r="C49" s="296"/>
      <c r="D49" s="296"/>
      <c r="E49" s="296"/>
      <c r="F49" s="296"/>
      <c r="G49" s="296"/>
      <c r="H49" s="1"/>
      <c r="I49" s="1"/>
      <c r="J49" s="296" t="s">
        <v>44</v>
      </c>
      <c r="K49" s="296"/>
      <c r="L49" s="296"/>
      <c r="M49" s="296"/>
      <c r="N49" s="296"/>
      <c r="O49" s="296"/>
      <c r="P49" s="296"/>
    </row>
    <row r="50" spans="1:17" ht="21" x14ac:dyDescent="0.35">
      <c r="A50" s="3" t="s">
        <v>10</v>
      </c>
      <c r="B50" s="307" t="str">
        <f>'Пр №1'!B50:G50</f>
        <v>Зинченко Михаил Александрович</v>
      </c>
      <c r="C50" s="307"/>
      <c r="D50" s="307"/>
      <c r="E50" s="307"/>
      <c r="F50" s="307"/>
      <c r="G50" s="307"/>
      <c r="H50" s="3"/>
      <c r="I50" s="3"/>
      <c r="J50" s="307" t="str">
        <f>'Акт возв'!J41:K41</f>
        <v>Ф.И.О.:</v>
      </c>
      <c r="K50" s="307"/>
      <c r="L50" s="307" t="str">
        <f>'Пр №1'!L50:Q50</f>
        <v>{{CLIENT_FULLNAME}}</v>
      </c>
      <c r="M50" s="307"/>
      <c r="N50" s="307"/>
      <c r="O50" s="307"/>
      <c r="P50" s="307"/>
      <c r="Q50" s="307"/>
    </row>
    <row r="51" spans="1:17" ht="21" x14ac:dyDescent="0.35">
      <c r="A51" s="3" t="s">
        <v>28</v>
      </c>
      <c r="B51" s="323">
        <f>'Пр №1'!B51:G51</f>
        <v>22212200650516</v>
      </c>
      <c r="C51" s="323"/>
      <c r="D51" s="323"/>
      <c r="E51" s="323"/>
      <c r="F51" s="323"/>
      <c r="G51" s="323"/>
      <c r="H51" s="3"/>
      <c r="I51" s="12"/>
      <c r="J51" s="323" t="str">
        <f>'Акт возв'!J42:K42</f>
        <v>ПИН:</v>
      </c>
      <c r="K51" s="323"/>
      <c r="L51" s="323" t="str">
        <f>'Пр №1'!L51:P51</f>
        <v>ХХХХ</v>
      </c>
      <c r="M51" s="323"/>
      <c r="N51" s="323"/>
      <c r="O51" s="323"/>
      <c r="P51" s="323"/>
      <c r="Q51" s="23"/>
    </row>
    <row r="52" spans="1:17" ht="21" x14ac:dyDescent="0.35">
      <c r="A52" s="307" t="s">
        <v>29</v>
      </c>
      <c r="B52" s="307"/>
      <c r="C52" s="13" t="str">
        <f>'Пр №1'!C52</f>
        <v>ID</v>
      </c>
      <c r="D52" s="13" t="s">
        <v>12</v>
      </c>
      <c r="E52" s="307">
        <f>'Пр №1'!E52:G52</f>
        <v>1706490</v>
      </c>
      <c r="F52" s="307"/>
      <c r="G52" s="307"/>
      <c r="H52" s="3"/>
      <c r="I52" s="3"/>
      <c r="J52" s="307" t="str">
        <f>'Акт возв'!J43:K43</f>
        <v>Паспорт:</v>
      </c>
      <c r="K52" s="307"/>
      <c r="L52" s="13" t="str">
        <f>'Пр №1'!L52</f>
        <v>ХХХ</v>
      </c>
      <c r="M52" s="13" t="s">
        <v>12</v>
      </c>
      <c r="N52" s="307" t="str">
        <f>'Пр №1'!N52:O52</f>
        <v>ХХХХХ</v>
      </c>
      <c r="O52" s="307"/>
      <c r="P52" s="3"/>
    </row>
    <row r="53" spans="1:17" ht="21" x14ac:dyDescent="0.35">
      <c r="A53" s="307" t="s">
        <v>30</v>
      </c>
      <c r="B53" s="307"/>
      <c r="C53" s="307" t="str">
        <f>'Пр №1'!C53:G53</f>
        <v>МКК 211041 от 05.06.2020</v>
      </c>
      <c r="D53" s="307"/>
      <c r="E53" s="307"/>
      <c r="F53" s="307"/>
      <c r="G53" s="307"/>
      <c r="H53" s="16"/>
      <c r="I53" s="3"/>
      <c r="J53" s="307" t="str">
        <f>'Акт возв'!J44:K44</f>
        <v>Выдан:</v>
      </c>
      <c r="K53" s="307"/>
      <c r="L53" s="292" t="str">
        <f>'Пр №1'!L53:O53</f>
        <v>МКК</v>
      </c>
      <c r="M53" s="292"/>
      <c r="N53" s="292"/>
      <c r="O53" s="292"/>
      <c r="P53" s="3"/>
    </row>
    <row r="54" spans="1:17" ht="21" x14ac:dyDescent="0.35">
      <c r="A54" s="307" t="s">
        <v>31</v>
      </c>
      <c r="B54" s="307"/>
      <c r="C54" s="307" t="str">
        <f>'Пр №1'!C54:G54</f>
        <v>г. Бишкек</v>
      </c>
      <c r="D54" s="307"/>
      <c r="E54" s="307"/>
      <c r="F54" s="307"/>
      <c r="G54" s="307"/>
      <c r="H54" s="11"/>
      <c r="I54" s="3"/>
      <c r="J54" s="307" t="str">
        <f>'Акт возв'!J45:K45</f>
        <v>Адрес:</v>
      </c>
      <c r="K54" s="307"/>
      <c r="L54" s="307" t="str">
        <f>'Пр №1'!L54:Q54</f>
        <v>Чуйская область г. Бишкек</v>
      </c>
      <c r="M54" s="307"/>
      <c r="N54" s="307"/>
      <c r="O54" s="307"/>
      <c r="P54" s="307"/>
      <c r="Q54" s="307"/>
    </row>
    <row r="55" spans="1:17" ht="21" x14ac:dyDescent="0.35">
      <c r="A55" s="307" t="str">
        <f>'Пр №1'!A55:G55</f>
        <v>ул. Ялтинская д. №  56</v>
      </c>
      <c r="B55" s="307"/>
      <c r="C55" s="307"/>
      <c r="D55" s="307"/>
      <c r="E55" s="307"/>
      <c r="F55" s="307"/>
      <c r="G55" s="307"/>
      <c r="H55" s="3"/>
      <c r="I55" s="3"/>
      <c r="J55" s="307" t="str">
        <f>'Пр №1'!J55:P55</f>
        <v>ул. ХХХХХ</v>
      </c>
      <c r="K55" s="307"/>
      <c r="L55" s="307"/>
      <c r="M55" s="307"/>
      <c r="N55" s="307"/>
      <c r="O55" s="307"/>
      <c r="P55" s="307"/>
      <c r="Q55" s="307"/>
    </row>
    <row r="56" spans="1:17" ht="21" x14ac:dyDescent="0.35">
      <c r="A56" s="307" t="s">
        <v>32</v>
      </c>
      <c r="B56" s="307"/>
      <c r="C56" s="307"/>
      <c r="D56" s="307">
        <f>'Пр №1'!D56:G56</f>
        <v>720051</v>
      </c>
      <c r="E56" s="307"/>
      <c r="F56" s="307"/>
      <c r="G56" s="307"/>
      <c r="H56" s="11"/>
      <c r="I56" s="3"/>
      <c r="J56" s="307" t="str">
        <f>'Акт возв'!J47:L47</f>
        <v>Почтовый индекс:</v>
      </c>
      <c r="K56" s="307"/>
      <c r="L56" s="307"/>
      <c r="M56" s="307">
        <f>'Пр №1'!M56:N56</f>
        <v>0</v>
      </c>
      <c r="N56" s="307"/>
      <c r="O56" s="3"/>
      <c r="P56" s="3"/>
    </row>
    <row r="57" spans="1:17" ht="21" x14ac:dyDescent="0.35">
      <c r="A57" s="307" t="s">
        <v>7</v>
      </c>
      <c r="B57" s="307"/>
      <c r="C57" s="307"/>
      <c r="D57" s="307"/>
      <c r="E57" s="307"/>
      <c r="F57" s="307"/>
      <c r="G57" s="307"/>
      <c r="H57" s="3"/>
      <c r="I57" s="3"/>
      <c r="J57" s="307" t="str">
        <f>'Акт возв'!J48:P48</f>
        <v>Банковские реквизиты:</v>
      </c>
      <c r="K57" s="307"/>
      <c r="L57" s="307"/>
      <c r="M57" s="307"/>
      <c r="N57" s="307"/>
      <c r="O57" s="307"/>
      <c r="P57" s="307"/>
    </row>
    <row r="58" spans="1:17" ht="21" x14ac:dyDescent="0.35">
      <c r="A58" s="307" t="str">
        <f>'Пр №1'!A58:G58</f>
        <v>ОАО Комерческий банк Кыргызстан</v>
      </c>
      <c r="B58" s="307"/>
      <c r="C58" s="307"/>
      <c r="D58" s="307"/>
      <c r="E58" s="307"/>
      <c r="F58" s="307"/>
      <c r="G58" s="307"/>
      <c r="H58" s="3"/>
      <c r="I58" s="3"/>
      <c r="J58" s="307">
        <f>'Пр №1'!J58:P58</f>
        <v>0</v>
      </c>
      <c r="K58" s="307"/>
      <c r="L58" s="307"/>
      <c r="M58" s="307"/>
      <c r="N58" s="307"/>
      <c r="O58" s="307"/>
      <c r="P58" s="307"/>
    </row>
    <row r="59" spans="1:17" ht="21" x14ac:dyDescent="0.35">
      <c r="A59" s="3" t="s">
        <v>49</v>
      </c>
      <c r="B59" s="323" t="str">
        <f>'Пр №1'!B59:G59</f>
        <v>"1030120300369929"</v>
      </c>
      <c r="C59" s="323"/>
      <c r="D59" s="323"/>
      <c r="E59" s="323"/>
      <c r="F59" s="323"/>
      <c r="G59" s="323"/>
      <c r="H59" s="3"/>
      <c r="I59" s="3"/>
      <c r="J59" s="3" t="str">
        <f>'Акт возв'!J50</f>
        <v>р/c:</v>
      </c>
      <c r="K59" s="323">
        <f>'Пр №1'!K59:P59</f>
        <v>0</v>
      </c>
      <c r="L59" s="323"/>
      <c r="M59" s="323"/>
      <c r="N59" s="323"/>
      <c r="O59" s="323"/>
      <c r="P59" s="323"/>
    </row>
    <row r="60" spans="1:17" ht="21" x14ac:dyDescent="0.35">
      <c r="A60" s="3" t="s">
        <v>9</v>
      </c>
      <c r="B60" s="307">
        <f>'Пр №1'!B60:G60</f>
        <v>103001</v>
      </c>
      <c r="C60" s="307"/>
      <c r="D60" s="307"/>
      <c r="E60" s="307"/>
      <c r="F60" s="307"/>
      <c r="G60" s="307"/>
      <c r="H60" s="3"/>
      <c r="I60" s="3"/>
      <c r="J60" s="3" t="str">
        <f>'Акт возв'!J51</f>
        <v>БИК:</v>
      </c>
      <c r="K60" s="307">
        <f>'Пр №1'!K60:P60</f>
        <v>0</v>
      </c>
      <c r="L60" s="307"/>
      <c r="M60" s="307"/>
      <c r="N60" s="307"/>
      <c r="O60" s="307"/>
      <c r="P60" s="307"/>
    </row>
    <row r="61" spans="1:17" ht="21" x14ac:dyDescent="0.35">
      <c r="A61" s="307" t="str">
        <f>'Пр №1'!A61:G61</f>
        <v>УГНС 003 Свердловского района</v>
      </c>
      <c r="B61" s="307"/>
      <c r="C61" s="307"/>
      <c r="D61" s="307"/>
      <c r="E61" s="307"/>
      <c r="F61" s="307"/>
      <c r="G61" s="307"/>
      <c r="H61" s="3"/>
      <c r="I61" s="3"/>
      <c r="J61" s="307" t="str">
        <f>'Акт возв'!J52:P52</f>
        <v>УГНС 000</v>
      </c>
      <c r="K61" s="307"/>
      <c r="L61" s="307"/>
      <c r="M61" s="307"/>
      <c r="N61" s="307"/>
      <c r="O61" s="307"/>
      <c r="P61" s="307"/>
    </row>
    <row r="62" spans="1:17" ht="21" x14ac:dyDescent="0.35">
      <c r="A62" s="3" t="str">
        <f>'Пр №1'!A62</f>
        <v>ОКПО:</v>
      </c>
      <c r="B62" s="292">
        <f>'Пр №1'!B62</f>
        <v>32282661</v>
      </c>
      <c r="C62" s="29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7" ht="21" x14ac:dyDescent="0.35">
      <c r="A63" s="292" t="str">
        <f>'Счет '!A60:C60</f>
        <v>Зинченко М. А.</v>
      </c>
      <c r="B63" s="292"/>
      <c r="C63" s="292"/>
      <c r="D63" s="292" t="str">
        <f>'Счет '!D60:F60</f>
        <v>________________________</v>
      </c>
      <c r="E63" s="292"/>
      <c r="F63" s="292"/>
      <c r="G63" s="3"/>
      <c r="H63" s="3"/>
      <c r="I63" s="3"/>
      <c r="J63" s="292" t="e">
        <f>'Пр №1'!J63:L63</f>
        <v>#VALUE!</v>
      </c>
      <c r="K63" s="292"/>
      <c r="L63" s="292"/>
      <c r="M63" s="307" t="s">
        <v>33</v>
      </c>
      <c r="N63" s="307"/>
      <c r="O63" s="307"/>
      <c r="P63" s="307"/>
    </row>
    <row r="64" spans="1:17" ht="21" x14ac:dyDescent="0.35">
      <c r="A64" s="3"/>
      <c r="B64" s="3"/>
      <c r="C64" s="3"/>
      <c r="D64" s="316" t="str">
        <f>'Акт возв'!D55:F55</f>
        <v>(подпись)</v>
      </c>
      <c r="E64" s="316"/>
      <c r="F64" s="316"/>
      <c r="G64" s="37"/>
      <c r="H64" s="37"/>
      <c r="I64" s="37"/>
      <c r="J64" s="37"/>
      <c r="K64" s="37"/>
      <c r="L64" s="37"/>
      <c r="M64" s="316">
        <f>'Акт возв'!M55:P55</f>
        <v>0</v>
      </c>
      <c r="N64" s="316"/>
      <c r="O64" s="316"/>
      <c r="P64" s="316"/>
    </row>
    <row r="65" spans="1:16" ht="21" x14ac:dyDescent="0.35">
      <c r="A65" s="9" t="str">
        <f>'Пр №1'!A65</f>
        <v xml:space="preserve"> «</v>
      </c>
      <c r="B65" s="15">
        <f ca="1">'Пр №1'!B65</f>
        <v>21</v>
      </c>
      <c r="C65" s="10" t="str">
        <f>'Пр №1'!C65</f>
        <v>»</v>
      </c>
      <c r="D65" s="337" t="str">
        <f ca="1">'Пр №1'!D65:E65</f>
        <v>Ноябрь</v>
      </c>
      <c r="E65" s="337"/>
      <c r="F65" s="10">
        <f ca="1">'Пр №1'!F65</f>
        <v>2025</v>
      </c>
      <c r="G65" s="10" t="str">
        <f>'Пр №1'!G65</f>
        <v>г.</v>
      </c>
      <c r="H65" s="9"/>
      <c r="I65" s="15"/>
      <c r="J65" s="5" t="str">
        <f>A65</f>
        <v xml:space="preserve"> «</v>
      </c>
      <c r="K65" s="5">
        <f ca="1">B65</f>
        <v>21</v>
      </c>
      <c r="L65" s="1" t="str">
        <f>C65</f>
        <v>»</v>
      </c>
      <c r="M65" s="296" t="str">
        <f ca="1">D65</f>
        <v>Ноябрь</v>
      </c>
      <c r="N65" s="296"/>
      <c r="O65" s="1">
        <f ca="1">F65</f>
        <v>2025</v>
      </c>
      <c r="P65" s="1" t="str">
        <f>G65</f>
        <v>г.</v>
      </c>
    </row>
    <row r="66" spans="1:16" ht="21" x14ac:dyDescent="0.35">
      <c r="A66" s="292" t="s">
        <v>26</v>
      </c>
      <c r="B66" s="292"/>
      <c r="C66" s="292" t="str">
        <f>'Пр №1'!C66:G66</f>
        <v xml:space="preserve"> +996 (555) 147 688</v>
      </c>
      <c r="D66" s="292"/>
      <c r="E66" s="292"/>
      <c r="F66" s="292"/>
      <c r="G66" s="292"/>
      <c r="H66" s="3"/>
      <c r="I66" s="3"/>
      <c r="J66" s="292" t="s">
        <v>26</v>
      </c>
      <c r="K66" s="292"/>
      <c r="L66" s="335" t="str">
        <f>'Пр №1'!L66:P66</f>
        <v>{{CLIENT_PHONE}}</v>
      </c>
      <c r="M66" s="335"/>
      <c r="N66" s="335"/>
      <c r="O66" s="335"/>
      <c r="P66" s="335"/>
    </row>
  </sheetData>
  <mergeCells count="170">
    <mergeCell ref="P31:Q31"/>
    <mergeCell ref="M31:O31"/>
    <mergeCell ref="A44:I44"/>
    <mergeCell ref="J44:L44"/>
    <mergeCell ref="B34:F34"/>
    <mergeCell ref="G34:M34"/>
    <mergeCell ref="B35:F35"/>
    <mergeCell ref="B36:F36"/>
    <mergeCell ref="B37:F37"/>
    <mergeCell ref="B39:F39"/>
    <mergeCell ref="G35:M35"/>
    <mergeCell ref="G36:M36"/>
    <mergeCell ref="G37:M37"/>
    <mergeCell ref="G39:M39"/>
    <mergeCell ref="B38:F38"/>
    <mergeCell ref="G38:M38"/>
    <mergeCell ref="A31:L31"/>
    <mergeCell ref="A32:G32"/>
    <mergeCell ref="H32:J32"/>
    <mergeCell ref="N37:Q37"/>
    <mergeCell ref="N36:Q36"/>
    <mergeCell ref="N39:Q39"/>
    <mergeCell ref="A33:Q33"/>
    <mergeCell ref="N34:Q34"/>
    <mergeCell ref="A29:A30"/>
    <mergeCell ref="B29:F30"/>
    <mergeCell ref="G29:G30"/>
    <mergeCell ref="H29:I29"/>
    <mergeCell ref="K29:K30"/>
    <mergeCell ref="L29:L30"/>
    <mergeCell ref="M29:M30"/>
    <mergeCell ref="N29:O30"/>
    <mergeCell ref="P29:Q30"/>
    <mergeCell ref="H30:I30"/>
    <mergeCell ref="A27:A28"/>
    <mergeCell ref="B27:F28"/>
    <mergeCell ref="G27:G28"/>
    <mergeCell ref="H27:I27"/>
    <mergeCell ref="K27:K28"/>
    <mergeCell ref="L27:L28"/>
    <mergeCell ref="M27:M28"/>
    <mergeCell ref="N27:O28"/>
    <mergeCell ref="P27:Q28"/>
    <mergeCell ref="H28:I28"/>
    <mergeCell ref="A25:A26"/>
    <mergeCell ref="B25:F26"/>
    <mergeCell ref="G25:G26"/>
    <mergeCell ref="H25:I25"/>
    <mergeCell ref="K25:K26"/>
    <mergeCell ref="L25:L26"/>
    <mergeCell ref="M25:M26"/>
    <mergeCell ref="N25:O26"/>
    <mergeCell ref="P25:Q26"/>
    <mergeCell ref="H26:I26"/>
    <mergeCell ref="K23:K24"/>
    <mergeCell ref="L23:L24"/>
    <mergeCell ref="B20:F20"/>
    <mergeCell ref="H20:I20"/>
    <mergeCell ref="N20:O20"/>
    <mergeCell ref="P20:Q20"/>
    <mergeCell ref="A21:A22"/>
    <mergeCell ref="B21:F22"/>
    <mergeCell ref="M23:M24"/>
    <mergeCell ref="N23:O24"/>
    <mergeCell ref="P23:Q24"/>
    <mergeCell ref="H24:I24"/>
    <mergeCell ref="G21:G22"/>
    <mergeCell ref="D65:E65"/>
    <mergeCell ref="M65:N65"/>
    <mergeCell ref="A66:B66"/>
    <mergeCell ref="C66:G66"/>
    <mergeCell ref="J66:K66"/>
    <mergeCell ref="L66:P66"/>
    <mergeCell ref="B60:G60"/>
    <mergeCell ref="K60:P60"/>
    <mergeCell ref="A61:G61"/>
    <mergeCell ref="J61:P61"/>
    <mergeCell ref="J63:L63"/>
    <mergeCell ref="M63:P63"/>
    <mergeCell ref="A63:C63"/>
    <mergeCell ref="D63:F63"/>
    <mergeCell ref="M64:P64"/>
    <mergeCell ref="D64:F64"/>
    <mergeCell ref="B62:C62"/>
    <mergeCell ref="A57:G57"/>
    <mergeCell ref="J57:P57"/>
    <mergeCell ref="A58:G58"/>
    <mergeCell ref="J58:P58"/>
    <mergeCell ref="B59:G59"/>
    <mergeCell ref="K59:P59"/>
    <mergeCell ref="A55:G55"/>
    <mergeCell ref="J55:Q55"/>
    <mergeCell ref="A56:C56"/>
    <mergeCell ref="D56:G56"/>
    <mergeCell ref="J56:L56"/>
    <mergeCell ref="M56:N56"/>
    <mergeCell ref="A53:B53"/>
    <mergeCell ref="C53:G53"/>
    <mergeCell ref="J53:K53"/>
    <mergeCell ref="L53:O53"/>
    <mergeCell ref="A54:B54"/>
    <mergeCell ref="C54:G54"/>
    <mergeCell ref="J54:K54"/>
    <mergeCell ref="L54:Q54"/>
    <mergeCell ref="B51:G51"/>
    <mergeCell ref="J51:K51"/>
    <mergeCell ref="L51:P51"/>
    <mergeCell ref="A52:B52"/>
    <mergeCell ref="E52:G52"/>
    <mergeCell ref="J52:K52"/>
    <mergeCell ref="N52:O52"/>
    <mergeCell ref="B50:G50"/>
    <mergeCell ref="J50:K50"/>
    <mergeCell ref="L50:Q50"/>
    <mergeCell ref="N38:Q38"/>
    <mergeCell ref="A42:H42"/>
    <mergeCell ref="A40:K40"/>
    <mergeCell ref="L40:M40"/>
    <mergeCell ref="N40:Q40"/>
    <mergeCell ref="J43:Q43"/>
    <mergeCell ref="A43:I43"/>
    <mergeCell ref="O42:Q42"/>
    <mergeCell ref="C13:H13"/>
    <mergeCell ref="A10:B10"/>
    <mergeCell ref="C10:G10"/>
    <mergeCell ref="A45:Q45"/>
    <mergeCell ref="A46:Q46"/>
    <mergeCell ref="A48:O48"/>
    <mergeCell ref="A49:G49"/>
    <mergeCell ref="J49:P49"/>
    <mergeCell ref="N35:Q35"/>
    <mergeCell ref="A16:Q16"/>
    <mergeCell ref="A17:D17"/>
    <mergeCell ref="A18:I18"/>
    <mergeCell ref="A19:O19"/>
    <mergeCell ref="H21:I21"/>
    <mergeCell ref="K21:K22"/>
    <mergeCell ref="L21:L22"/>
    <mergeCell ref="M21:M22"/>
    <mergeCell ref="N21:O22"/>
    <mergeCell ref="P21:Q22"/>
    <mergeCell ref="H22:I22"/>
    <mergeCell ref="A23:A24"/>
    <mergeCell ref="B23:F24"/>
    <mergeCell ref="G23:G24"/>
    <mergeCell ref="H23:I23"/>
    <mergeCell ref="A15:B15"/>
    <mergeCell ref="C15:F15"/>
    <mergeCell ref="G15:J15"/>
    <mergeCell ref="K15:P15"/>
    <mergeCell ref="A14:G14"/>
    <mergeCell ref="H14:Q14"/>
    <mergeCell ref="A3:Q3"/>
    <mergeCell ref="A4:Q4"/>
    <mergeCell ref="A5:I5"/>
    <mergeCell ref="B6:E6"/>
    <mergeCell ref="L6:M6"/>
    <mergeCell ref="A13:B13"/>
    <mergeCell ref="N13:Q13"/>
    <mergeCell ref="A8:Q8"/>
    <mergeCell ref="A9:Q9"/>
    <mergeCell ref="A11:H11"/>
    <mergeCell ref="I11:Q11"/>
    <mergeCell ref="A12:D12"/>
    <mergeCell ref="G12:H12"/>
    <mergeCell ref="N12:Q12"/>
    <mergeCell ref="H10:Q10"/>
    <mergeCell ref="A7:F7"/>
    <mergeCell ref="G7:Q7"/>
    <mergeCell ref="I13:M13"/>
  </mergeCells>
  <pageMargins left="0.37" right="0.35" top="0.32" bottom="0.28000000000000003" header="0.3" footer="0.3"/>
  <pageSetup paperSize="9" scale="46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T51"/>
  <sheetViews>
    <sheetView topLeftCell="A32" zoomScaleNormal="100" workbookViewId="0">
      <selection activeCell="A49" sqref="A49:E49"/>
    </sheetView>
  </sheetViews>
  <sheetFormatPr defaultRowHeight="15.75" x14ac:dyDescent="0.25"/>
  <cols>
    <col min="1" max="1" width="4.85546875" style="97" customWidth="1"/>
    <col min="2" max="3" width="9.140625" style="97"/>
    <col min="4" max="4" width="9.5703125" style="97" bestFit="1" customWidth="1"/>
    <col min="5" max="5" width="9.5703125" style="97" customWidth="1"/>
    <col min="6" max="6" width="10" style="97" customWidth="1"/>
    <col min="7" max="7" width="5.7109375" style="97" customWidth="1"/>
    <col min="8" max="8" width="5.85546875" style="97" customWidth="1"/>
    <col min="9" max="9" width="11.28515625" style="97" bestFit="1" customWidth="1"/>
    <col min="10" max="10" width="12.42578125" style="97" customWidth="1"/>
    <col min="11" max="11" width="7.85546875" style="97" customWidth="1"/>
    <col min="12" max="12" width="22.140625" style="97" customWidth="1"/>
    <col min="13" max="13" width="8.85546875" style="65" customWidth="1"/>
    <col min="14" max="16" width="9.140625" style="65"/>
    <col min="17" max="18" width="9.28515625" style="65" bestFit="1" customWidth="1"/>
    <col min="19" max="19" width="9.5703125" style="65" bestFit="1" customWidth="1"/>
    <col min="20" max="20" width="13.42578125" style="65" customWidth="1"/>
  </cols>
  <sheetData>
    <row r="2" spans="1:12" x14ac:dyDescent="0.25">
      <c r="A2" s="520" t="str">
        <f>Дог.!B13</f>
        <v xml:space="preserve">г. Бишкек </v>
      </c>
      <c r="B2" s="520"/>
      <c r="C2" s="520"/>
      <c r="D2" s="66"/>
      <c r="E2" s="66"/>
      <c r="F2" s="108" t="str">
        <f>Дог.!I13</f>
        <v xml:space="preserve"> «</v>
      </c>
      <c r="G2" s="66">
        <f ca="1">Дог.!J13</f>
        <v>21</v>
      </c>
      <c r="H2" s="65" t="str">
        <f>Дог.!K13</f>
        <v>»</v>
      </c>
      <c r="I2" s="520" t="str">
        <f ca="1">Дог.!L13</f>
        <v>Ноябрь</v>
      </c>
      <c r="J2" s="520"/>
      <c r="K2" s="66">
        <f ca="1">Дог.!N13</f>
        <v>2025</v>
      </c>
      <c r="L2" s="80" t="str">
        <f>Дог.!O13</f>
        <v>г.</v>
      </c>
    </row>
    <row r="3" spans="1:12" x14ac:dyDescent="0.25">
      <c r="A3" s="66"/>
      <c r="B3" s="66"/>
      <c r="C3" s="66"/>
      <c r="D3" s="66"/>
      <c r="E3" s="66"/>
      <c r="F3" s="108"/>
      <c r="G3" s="66"/>
      <c r="H3" s="65"/>
      <c r="I3" s="66"/>
      <c r="J3" s="66"/>
      <c r="K3" s="66"/>
      <c r="L3" s="80"/>
    </row>
    <row r="4" spans="1:12" x14ac:dyDescent="0.25">
      <c r="A4" s="66"/>
      <c r="B4" s="66"/>
      <c r="C4" s="66"/>
      <c r="D4" s="66"/>
      <c r="E4" s="66"/>
      <c r="F4" s="108"/>
      <c r="G4" s="66"/>
      <c r="H4" s="65"/>
      <c r="I4" s="66"/>
      <c r="J4" s="66"/>
      <c r="K4" s="66"/>
      <c r="L4" s="80"/>
    </row>
    <row r="5" spans="1:12" x14ac:dyDescent="0.25">
      <c r="C5" s="109"/>
      <c r="D5" s="98"/>
      <c r="E5" s="98"/>
      <c r="F5" s="109"/>
      <c r="G5" s="98"/>
      <c r="H5" s="72"/>
      <c r="I5" s="98"/>
      <c r="J5" s="98"/>
      <c r="K5" s="98"/>
    </row>
    <row r="6" spans="1:12" ht="25.5" x14ac:dyDescent="0.25">
      <c r="A6" s="522" t="s">
        <v>284</v>
      </c>
      <c r="B6" s="522"/>
      <c r="C6" s="522"/>
      <c r="D6" s="522"/>
      <c r="E6" s="522"/>
      <c r="F6" s="522"/>
      <c r="G6" s="522"/>
      <c r="H6" s="522"/>
      <c r="I6" s="522"/>
      <c r="J6" s="522"/>
      <c r="K6" s="522"/>
      <c r="L6" s="522"/>
    </row>
    <row r="7" spans="1:12" x14ac:dyDescent="0.25">
      <c r="A7" s="523"/>
      <c r="B7" s="523"/>
      <c r="C7" s="523"/>
      <c r="D7" s="523"/>
      <c r="E7" s="523"/>
      <c r="F7" s="523"/>
      <c r="G7" s="523"/>
      <c r="H7" s="523"/>
      <c r="I7" s="523"/>
      <c r="J7" s="523"/>
      <c r="K7" s="523"/>
      <c r="L7" s="523"/>
    </row>
    <row r="8" spans="1:12" x14ac:dyDescent="0.25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</row>
    <row r="9" spans="1:12" ht="18.75" x14ac:dyDescent="0.25">
      <c r="A9" s="110"/>
      <c r="B9" s="111" t="s">
        <v>189</v>
      </c>
      <c r="C9" s="524" t="str">
        <f>Дог.!A18</f>
        <v>{{CLIENT_FULLNAME}}</v>
      </c>
      <c r="D9" s="524"/>
      <c r="E9" s="524"/>
      <c r="F9" s="524"/>
      <c r="G9" s="524"/>
      <c r="H9" s="524"/>
      <c r="I9" s="524"/>
      <c r="J9" s="515" t="s">
        <v>285</v>
      </c>
      <c r="K9" s="515"/>
      <c r="L9" s="515"/>
    </row>
    <row r="10" spans="1:12" ht="18.75" x14ac:dyDescent="0.25">
      <c r="A10" s="515" t="s">
        <v>286</v>
      </c>
      <c r="B10" s="515"/>
      <c r="C10" s="515" t="str">
        <f>Дог.!C20</f>
        <v>Чуйская область г. Бишкек</v>
      </c>
      <c r="D10" s="515"/>
      <c r="E10" s="515"/>
      <c r="F10" s="515"/>
      <c r="G10" s="515"/>
      <c r="H10" s="515"/>
      <c r="I10" s="515"/>
      <c r="J10" s="515"/>
      <c r="K10" s="515"/>
      <c r="L10" s="515"/>
    </row>
    <row r="11" spans="1:12" ht="18.75" x14ac:dyDescent="0.25">
      <c r="A11" s="515" t="str">
        <f>Дог.!J20</f>
        <v>ул. ХХХХХ</v>
      </c>
      <c r="B11" s="515"/>
      <c r="C11" s="515"/>
      <c r="D11" s="515"/>
      <c r="E11" s="515"/>
      <c r="F11" s="515"/>
      <c r="G11" s="521" t="s">
        <v>287</v>
      </c>
      <c r="H11" s="521"/>
      <c r="I11" s="521"/>
      <c r="J11" s="521"/>
      <c r="K11" s="521"/>
      <c r="L11" s="521"/>
    </row>
    <row r="12" spans="1:12" ht="18.75" x14ac:dyDescent="0.25">
      <c r="A12" s="515" t="s">
        <v>286</v>
      </c>
      <c r="B12" s="515"/>
      <c r="C12" s="515" t="str">
        <f>Дог.!A21</f>
        <v>Чуйская область г. Бишкек</v>
      </c>
      <c r="D12" s="515"/>
      <c r="E12" s="515"/>
      <c r="F12" s="515"/>
      <c r="G12" s="515"/>
      <c r="H12" s="515"/>
      <c r="I12" s="515"/>
      <c r="J12" s="515"/>
      <c r="K12" s="515"/>
      <c r="L12" s="515"/>
    </row>
    <row r="13" spans="1:12" ht="18.75" x14ac:dyDescent="0.25">
      <c r="A13" s="515" t="str">
        <f>Дог.!I21</f>
        <v>ул. ХХХХХ</v>
      </c>
      <c r="B13" s="515"/>
      <c r="C13" s="515"/>
      <c r="D13" s="515"/>
      <c r="E13" s="515"/>
      <c r="F13" s="515"/>
      <c r="G13" s="521"/>
      <c r="H13" s="521"/>
      <c r="I13" s="111"/>
      <c r="J13" s="111"/>
      <c r="K13" s="515"/>
      <c r="L13" s="515"/>
    </row>
    <row r="14" spans="1:12" ht="18.75" x14ac:dyDescent="0.25">
      <c r="A14" s="515" t="s">
        <v>29</v>
      </c>
      <c r="B14" s="515"/>
      <c r="C14" s="122" t="str">
        <f>Дог.!E19</f>
        <v>ХХХ</v>
      </c>
      <c r="D14" s="111" t="s">
        <v>12</v>
      </c>
      <c r="E14" s="517" t="str">
        <f>Дог.!G19</f>
        <v>ХХХХХ</v>
      </c>
      <c r="F14" s="517"/>
      <c r="G14" s="521"/>
      <c r="H14" s="521"/>
      <c r="I14" s="111"/>
      <c r="J14" s="111"/>
      <c r="K14" s="110"/>
      <c r="L14" s="110"/>
    </row>
    <row r="15" spans="1:12" ht="18.75" x14ac:dyDescent="0.25">
      <c r="A15" s="515" t="s">
        <v>30</v>
      </c>
      <c r="B15" s="515"/>
      <c r="C15" s="122" t="str">
        <f>Дог.!J19</f>
        <v>МКК</v>
      </c>
      <c r="D15" s="122" t="str">
        <f>Дог.!K19</f>
        <v>ХХХХ</v>
      </c>
      <c r="E15" s="111" t="s">
        <v>250</v>
      </c>
      <c r="F15" s="526" t="str">
        <f>Дог.!M19</f>
        <v>ХХХХ</v>
      </c>
      <c r="G15" s="526"/>
      <c r="H15" s="526"/>
      <c r="I15" s="112"/>
      <c r="J15" s="527"/>
      <c r="K15" s="527"/>
      <c r="L15" s="527"/>
    </row>
    <row r="16" spans="1:12" ht="18.75" x14ac:dyDescent="0.25">
      <c r="A16" s="515" t="s">
        <v>252</v>
      </c>
      <c r="B16" s="515"/>
      <c r="C16" s="516" t="str">
        <f>Дог.!C22</f>
        <v>ХХХХ</v>
      </c>
      <c r="D16" s="517"/>
      <c r="E16" s="517"/>
      <c r="F16" s="517"/>
      <c r="G16" s="118"/>
      <c r="H16" s="118"/>
      <c r="I16" s="112"/>
      <c r="J16" s="119"/>
      <c r="K16" s="119"/>
      <c r="L16" s="119"/>
    </row>
    <row r="17" spans="1:12" ht="18.75" x14ac:dyDescent="0.25">
      <c r="A17" s="515" t="s">
        <v>317</v>
      </c>
      <c r="B17" s="515"/>
      <c r="C17" s="515"/>
      <c r="D17" s="518" t="str">
        <f>Дог.!A23</f>
        <v>ХХХХХ</v>
      </c>
      <c r="E17" s="519"/>
      <c r="F17" s="110"/>
      <c r="G17" s="118"/>
      <c r="H17" s="118"/>
      <c r="I17" s="112"/>
      <c r="J17" s="119"/>
      <c r="K17" s="119"/>
      <c r="L17" s="119"/>
    </row>
    <row r="18" spans="1:12" ht="18.75" x14ac:dyDescent="0.25">
      <c r="A18" s="515" t="s">
        <v>130</v>
      </c>
      <c r="B18" s="515"/>
      <c r="C18" s="528" t="str">
        <f>Дог.!D7</f>
        <v>{{CLIENT_PHONE}}</v>
      </c>
      <c r="D18" s="528"/>
      <c r="E18" s="528"/>
      <c r="F18" s="528"/>
      <c r="G18" s="528"/>
      <c r="H18" s="528"/>
      <c r="I18" s="528"/>
      <c r="J18" s="529"/>
      <c r="K18" s="529"/>
      <c r="L18" s="113"/>
    </row>
    <row r="19" spans="1:12" ht="18.75" x14ac:dyDescent="0.25">
      <c r="A19" s="515" t="s">
        <v>543</v>
      </c>
      <c r="B19" s="515"/>
      <c r="C19" s="515"/>
      <c r="D19" s="515"/>
      <c r="E19" s="515"/>
      <c r="F19" s="524" t="str">
        <f>Дог.!A14</f>
        <v>Зинченко Михаил Александрович</v>
      </c>
      <c r="G19" s="524"/>
      <c r="H19" s="524"/>
      <c r="I19" s="524"/>
      <c r="J19" s="524"/>
      <c r="K19" s="524"/>
      <c r="L19" s="113"/>
    </row>
    <row r="20" spans="1:12" ht="18.75" x14ac:dyDescent="0.25">
      <c r="A20" s="113"/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</row>
    <row r="21" spans="1:12" ht="18.75" x14ac:dyDescent="0.25">
      <c r="A21" s="114" t="s">
        <v>288</v>
      </c>
      <c r="B21" s="525" t="s">
        <v>289</v>
      </c>
      <c r="C21" s="525"/>
      <c r="D21" s="525"/>
      <c r="E21" s="525"/>
      <c r="F21" s="525"/>
      <c r="G21" s="525"/>
      <c r="H21" s="525"/>
      <c r="I21" s="525"/>
      <c r="J21" s="525">
        <v>3000</v>
      </c>
      <c r="K21" s="525"/>
      <c r="L21" s="525"/>
    </row>
    <row r="22" spans="1:12" ht="18.75" x14ac:dyDescent="0.25">
      <c r="A22" s="530" t="e">
        <f ca="1">[2]!ЧислоПрописьюВалюта(J21,2)</f>
        <v>#NAME?</v>
      </c>
      <c r="B22" s="530"/>
      <c r="C22" s="530"/>
      <c r="D22" s="530"/>
      <c r="E22" s="530"/>
      <c r="F22" s="530"/>
      <c r="G22" s="530"/>
      <c r="H22" s="530"/>
      <c r="I22" s="530"/>
      <c r="J22" s="113" t="s">
        <v>290</v>
      </c>
      <c r="K22" s="531">
        <f ca="1">'Пр №1'!J21+3</f>
        <v>45985</v>
      </c>
      <c r="L22" s="532"/>
    </row>
    <row r="23" spans="1:12" ht="18.75" x14ac:dyDescent="0.25">
      <c r="A23" s="515" t="s">
        <v>291</v>
      </c>
      <c r="B23" s="515"/>
      <c r="C23" s="515"/>
      <c r="D23" s="515"/>
      <c r="E23" s="515"/>
      <c r="F23" s="515"/>
      <c r="G23" s="515"/>
      <c r="H23" s="515"/>
      <c r="I23" s="515"/>
      <c r="J23" s="525">
        <f>J21/C24</f>
        <v>600</v>
      </c>
      <c r="K23" s="525"/>
      <c r="L23" s="525"/>
    </row>
    <row r="24" spans="1:12" ht="18.75" x14ac:dyDescent="0.25">
      <c r="A24" s="515" t="s">
        <v>292</v>
      </c>
      <c r="B24" s="515"/>
      <c r="C24" s="111">
        <v>5</v>
      </c>
      <c r="D24" s="521" t="s">
        <v>539</v>
      </c>
      <c r="E24" s="521"/>
      <c r="F24" s="521" t="s">
        <v>293</v>
      </c>
      <c r="G24" s="521"/>
      <c r="H24" s="111">
        <v>5</v>
      </c>
      <c r="I24" s="515" t="s">
        <v>294</v>
      </c>
      <c r="J24" s="515"/>
      <c r="K24" s="515"/>
      <c r="L24" s="515"/>
    </row>
    <row r="25" spans="1:12" ht="18.75" x14ac:dyDescent="0.25">
      <c r="A25" s="533" t="s">
        <v>544</v>
      </c>
      <c r="B25" s="533"/>
      <c r="C25" s="533"/>
      <c r="D25" s="533"/>
      <c r="E25" s="533"/>
      <c r="F25" s="533"/>
      <c r="G25" s="524" t="str">
        <f>Дог.!A14</f>
        <v>Зинченко Михаил Александрович</v>
      </c>
      <c r="H25" s="524"/>
      <c r="I25" s="524"/>
      <c r="J25" s="524"/>
      <c r="K25" s="524"/>
      <c r="L25" s="524"/>
    </row>
    <row r="26" spans="1:12" ht="18.75" x14ac:dyDescent="0.25">
      <c r="A26" s="521" t="s">
        <v>784</v>
      </c>
      <c r="B26" s="521"/>
      <c r="C26" s="521"/>
      <c r="D26" s="521"/>
      <c r="E26" s="521"/>
      <c r="F26" s="521"/>
      <c r="G26" s="521"/>
      <c r="H26" s="534" t="s">
        <v>783</v>
      </c>
      <c r="I26" s="521"/>
      <c r="J26" s="521"/>
      <c r="K26" s="521" t="s">
        <v>295</v>
      </c>
      <c r="L26" s="521"/>
    </row>
    <row r="27" spans="1:12" ht="18.75" x14ac:dyDescent="0.25">
      <c r="A27" s="515" t="s">
        <v>296</v>
      </c>
      <c r="B27" s="515"/>
      <c r="C27" s="515"/>
      <c r="D27" s="515"/>
      <c r="E27" s="515"/>
      <c r="F27" s="515"/>
      <c r="G27" s="515"/>
      <c r="H27" s="515"/>
      <c r="I27" s="515"/>
      <c r="J27" s="515"/>
      <c r="K27" s="515"/>
      <c r="L27" s="515"/>
    </row>
    <row r="28" spans="1:12" ht="18.75" x14ac:dyDescent="0.25">
      <c r="A28" s="114" t="s">
        <v>297</v>
      </c>
      <c r="B28" s="515" t="s">
        <v>504</v>
      </c>
      <c r="C28" s="515"/>
      <c r="D28" s="515"/>
      <c r="E28" s="515"/>
      <c r="F28" s="515"/>
      <c r="G28" s="515"/>
      <c r="H28" s="515"/>
      <c r="I28" s="515"/>
      <c r="J28" s="515"/>
      <c r="K28" s="515"/>
      <c r="L28" s="515"/>
    </row>
    <row r="29" spans="1:12" ht="18.75" x14ac:dyDescent="0.25">
      <c r="A29" s="515" t="s">
        <v>503</v>
      </c>
      <c r="B29" s="515"/>
      <c r="C29" s="515"/>
      <c r="D29" s="515"/>
      <c r="E29" s="515"/>
      <c r="F29" s="515"/>
      <c r="G29" s="515"/>
      <c r="H29" s="515"/>
      <c r="I29" s="515"/>
      <c r="J29" s="515"/>
      <c r="K29" s="515"/>
      <c r="L29" s="515"/>
    </row>
    <row r="30" spans="1:12" ht="18.75" x14ac:dyDescent="0.25">
      <c r="A30" s="515" t="s">
        <v>298</v>
      </c>
      <c r="B30" s="515"/>
      <c r="C30" s="515"/>
      <c r="D30" s="515"/>
      <c r="E30" s="515"/>
      <c r="F30" s="515"/>
      <c r="G30" s="515"/>
      <c r="H30" s="515"/>
      <c r="I30" s="515"/>
      <c r="J30" s="515"/>
      <c r="K30" s="515"/>
      <c r="L30" s="515"/>
    </row>
    <row r="31" spans="1:12" ht="18.75" x14ac:dyDescent="0.25">
      <c r="A31" s="515" t="s">
        <v>299</v>
      </c>
      <c r="B31" s="515"/>
      <c r="C31" s="515"/>
      <c r="D31" s="515"/>
      <c r="E31" s="515"/>
      <c r="F31" s="515"/>
      <c r="G31" s="515"/>
      <c r="H31" s="515"/>
      <c r="I31" s="515"/>
      <c r="J31" s="515"/>
      <c r="K31" s="515"/>
      <c r="L31" s="515"/>
    </row>
    <row r="32" spans="1:12" ht="18.75" x14ac:dyDescent="0.25">
      <c r="A32" s="114" t="s">
        <v>300</v>
      </c>
      <c r="B32" s="515" t="s">
        <v>301</v>
      </c>
      <c r="C32" s="515"/>
      <c r="D32" s="515"/>
      <c r="E32" s="515"/>
      <c r="F32" s="515"/>
      <c r="G32" s="515"/>
      <c r="H32" s="515"/>
      <c r="I32" s="515"/>
      <c r="J32" s="515"/>
      <c r="K32" s="515"/>
      <c r="L32" s="515"/>
    </row>
    <row r="33" spans="1:12" ht="18.75" x14ac:dyDescent="0.25">
      <c r="A33" s="515" t="s">
        <v>302</v>
      </c>
      <c r="B33" s="515"/>
      <c r="C33" s="515"/>
      <c r="D33" s="515"/>
      <c r="E33" s="515"/>
      <c r="F33" s="515"/>
      <c r="G33" s="515"/>
      <c r="H33" s="515"/>
      <c r="I33" s="515"/>
      <c r="J33" s="515"/>
      <c r="K33" s="515"/>
      <c r="L33" s="515"/>
    </row>
    <row r="34" spans="1:12" ht="18.75" x14ac:dyDescent="0.25">
      <c r="A34" s="515" t="s">
        <v>303</v>
      </c>
      <c r="B34" s="515"/>
      <c r="C34" s="515"/>
      <c r="D34" s="515"/>
      <c r="E34" s="515"/>
      <c r="F34" s="515"/>
      <c r="G34" s="515"/>
      <c r="H34" s="515"/>
      <c r="I34" s="515"/>
      <c r="J34" s="515"/>
      <c r="K34" s="515"/>
      <c r="L34" s="515"/>
    </row>
    <row r="35" spans="1:12" ht="18.75" x14ac:dyDescent="0.25">
      <c r="A35" s="515" t="s">
        <v>304</v>
      </c>
      <c r="B35" s="515"/>
      <c r="C35" s="515"/>
      <c r="D35" s="515"/>
      <c r="E35" s="515"/>
      <c r="F35" s="515"/>
      <c r="G35" s="515"/>
      <c r="H35" s="515"/>
      <c r="I35" s="515"/>
      <c r="J35" s="515"/>
      <c r="K35" s="515"/>
      <c r="L35" s="515"/>
    </row>
    <row r="36" spans="1:12" ht="18.75" x14ac:dyDescent="0.25">
      <c r="A36" s="114" t="s">
        <v>305</v>
      </c>
      <c r="B36" s="515" t="s">
        <v>306</v>
      </c>
      <c r="C36" s="515"/>
      <c r="D36" s="515"/>
      <c r="E36" s="515"/>
      <c r="F36" s="515"/>
      <c r="G36" s="515"/>
      <c r="H36" s="515"/>
      <c r="I36" s="515"/>
      <c r="J36" s="515"/>
      <c r="K36" s="515"/>
      <c r="L36" s="515"/>
    </row>
    <row r="37" spans="1:12" ht="18.75" x14ac:dyDescent="0.25">
      <c r="A37" s="515" t="s">
        <v>307</v>
      </c>
      <c r="B37" s="515"/>
      <c r="C37" s="515"/>
      <c r="D37" s="515"/>
      <c r="E37" s="515"/>
      <c r="F37" s="515"/>
      <c r="G37" s="515"/>
      <c r="H37" s="515"/>
      <c r="I37" s="515"/>
      <c r="J37" s="515"/>
      <c r="K37" s="515"/>
      <c r="L37" s="515"/>
    </row>
    <row r="38" spans="1:12" ht="18.75" x14ac:dyDescent="0.25">
      <c r="A38" s="111"/>
      <c r="B38" s="111"/>
      <c r="C38" s="111"/>
      <c r="D38" s="111"/>
      <c r="E38" s="111"/>
      <c r="F38" s="111"/>
      <c r="G38" s="111"/>
      <c r="H38" s="111"/>
      <c r="I38" s="111"/>
      <c r="J38" s="111"/>
      <c r="K38" s="111"/>
      <c r="L38" s="111"/>
    </row>
    <row r="39" spans="1:12" ht="18.75" x14ac:dyDescent="0.25">
      <c r="A39" s="535"/>
      <c r="B39" s="535"/>
      <c r="C39" s="535"/>
      <c r="D39" s="535"/>
      <c r="E39" s="535"/>
      <c r="F39" s="111"/>
      <c r="G39" s="111"/>
      <c r="H39" s="111"/>
      <c r="I39" s="111"/>
      <c r="J39" s="536"/>
      <c r="K39" s="536"/>
      <c r="L39" s="536"/>
    </row>
    <row r="40" spans="1:12" ht="18.75" x14ac:dyDescent="0.25">
      <c r="A40" s="537" t="s">
        <v>308</v>
      </c>
      <c r="B40" s="537"/>
      <c r="C40" s="537"/>
      <c r="D40" s="537"/>
      <c r="E40" s="537"/>
      <c r="F40" s="111"/>
      <c r="G40" s="111"/>
      <c r="H40" s="111"/>
      <c r="I40" s="111"/>
      <c r="J40" s="537" t="s">
        <v>309</v>
      </c>
      <c r="K40" s="537"/>
      <c r="L40" s="537"/>
    </row>
    <row r="41" spans="1:12" ht="18.75" x14ac:dyDescent="0.25">
      <c r="A41" s="115"/>
      <c r="B41" s="115"/>
      <c r="C41" s="115"/>
      <c r="D41" s="115"/>
      <c r="E41" s="115"/>
      <c r="F41" s="111"/>
      <c r="G41" s="111"/>
      <c r="H41" s="111"/>
      <c r="I41" s="111"/>
      <c r="J41" s="111"/>
      <c r="K41" s="111"/>
      <c r="L41" s="111"/>
    </row>
    <row r="42" spans="1:12" ht="18.75" x14ac:dyDescent="0.25">
      <c r="A42" s="536"/>
      <c r="B42" s="536"/>
      <c r="C42" s="536"/>
      <c r="D42" s="536"/>
      <c r="E42" s="536"/>
      <c r="F42" s="111"/>
      <c r="G42" s="111"/>
      <c r="H42" s="111"/>
      <c r="I42" s="111"/>
      <c r="J42" s="536"/>
      <c r="K42" s="536"/>
      <c r="L42" s="536"/>
    </row>
    <row r="43" spans="1:12" ht="18.75" x14ac:dyDescent="0.25">
      <c r="A43" s="537" t="s">
        <v>310</v>
      </c>
      <c r="B43" s="537"/>
      <c r="C43" s="537"/>
      <c r="D43" s="537"/>
      <c r="E43" s="537"/>
      <c r="F43" s="111"/>
      <c r="G43" s="111"/>
      <c r="H43" s="111"/>
      <c r="I43" s="111"/>
      <c r="J43" s="537" t="s">
        <v>311</v>
      </c>
      <c r="K43" s="537"/>
      <c r="L43" s="537"/>
    </row>
    <row r="44" spans="1:12" ht="18.75" x14ac:dyDescent="0.25">
      <c r="A44" s="115"/>
      <c r="B44" s="115"/>
      <c r="C44" s="115"/>
      <c r="D44" s="115"/>
      <c r="E44" s="115"/>
      <c r="F44" s="111"/>
      <c r="G44" s="111"/>
      <c r="H44" s="111"/>
      <c r="I44" s="111"/>
      <c r="J44" s="111"/>
      <c r="K44" s="111"/>
      <c r="L44" s="111"/>
    </row>
    <row r="45" spans="1:12" ht="18.75" x14ac:dyDescent="0.25">
      <c r="A45" s="536"/>
      <c r="B45" s="536"/>
      <c r="C45" s="536"/>
      <c r="D45" s="536"/>
      <c r="E45" s="536"/>
      <c r="F45" s="111"/>
      <c r="G45" s="111"/>
      <c r="H45" s="111"/>
      <c r="I45" s="111"/>
      <c r="J45" s="536"/>
      <c r="K45" s="536"/>
      <c r="L45" s="536"/>
    </row>
    <row r="46" spans="1:12" ht="18.75" x14ac:dyDescent="0.25">
      <c r="A46" s="537" t="s">
        <v>310</v>
      </c>
      <c r="B46" s="537"/>
      <c r="C46" s="537"/>
      <c r="D46" s="537"/>
      <c r="E46" s="537"/>
      <c r="F46" s="111"/>
      <c r="G46" s="111"/>
      <c r="H46" s="111"/>
      <c r="I46" s="111"/>
      <c r="J46" s="537" t="s">
        <v>311</v>
      </c>
      <c r="K46" s="537"/>
      <c r="L46" s="537"/>
    </row>
    <row r="47" spans="1:12" ht="18.75" x14ac:dyDescent="0.25">
      <c r="A47" s="115"/>
      <c r="B47" s="115"/>
      <c r="C47" s="115"/>
      <c r="D47" s="115"/>
      <c r="E47" s="115"/>
      <c r="F47" s="111"/>
      <c r="G47" s="111"/>
      <c r="H47" s="111"/>
      <c r="I47" s="111"/>
      <c r="J47" s="111"/>
      <c r="K47" s="111"/>
      <c r="L47" s="111"/>
    </row>
    <row r="48" spans="1:12" x14ac:dyDescent="0.25">
      <c r="A48" s="535" t="s">
        <v>779</v>
      </c>
      <c r="B48" s="535"/>
      <c r="C48" s="535"/>
      <c r="D48" s="535"/>
      <c r="E48" s="535"/>
      <c r="F48" s="98"/>
      <c r="G48" s="98"/>
      <c r="H48" s="98"/>
      <c r="I48" s="98"/>
      <c r="J48" s="535"/>
      <c r="K48" s="535"/>
      <c r="L48" s="535"/>
    </row>
    <row r="49" spans="1:12" x14ac:dyDescent="0.25">
      <c r="A49" s="537" t="s">
        <v>312</v>
      </c>
      <c r="B49" s="537"/>
      <c r="C49" s="537"/>
      <c r="D49" s="537"/>
      <c r="E49" s="537"/>
      <c r="F49" s="98"/>
      <c r="G49" s="98"/>
      <c r="H49" s="98"/>
      <c r="I49" s="98"/>
      <c r="J49" s="537" t="s">
        <v>313</v>
      </c>
      <c r="K49" s="537"/>
      <c r="L49" s="537"/>
    </row>
    <row r="50" spans="1:12" x14ac:dyDescent="0.25">
      <c r="A50" s="116"/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116"/>
    </row>
    <row r="51" spans="1:12" x14ac:dyDescent="0.25">
      <c r="A51" s="116"/>
      <c r="B51" s="116"/>
      <c r="C51" s="116"/>
      <c r="D51" s="116"/>
      <c r="E51" s="116"/>
      <c r="F51" s="116"/>
      <c r="G51" s="116"/>
      <c r="H51" s="116"/>
      <c r="I51" s="116"/>
      <c r="J51" s="116"/>
      <c r="K51" s="116"/>
      <c r="L51" s="116"/>
    </row>
  </sheetData>
  <mergeCells count="72">
    <mergeCell ref="A49:E49"/>
    <mergeCell ref="J49:L49"/>
    <mergeCell ref="A45:E45"/>
    <mergeCell ref="J45:L45"/>
    <mergeCell ref="A46:E46"/>
    <mergeCell ref="J46:L46"/>
    <mergeCell ref="A48:E48"/>
    <mergeCell ref="J48:L48"/>
    <mergeCell ref="A40:E40"/>
    <mergeCell ref="J40:L40"/>
    <mergeCell ref="A42:E42"/>
    <mergeCell ref="J42:L42"/>
    <mergeCell ref="A43:E43"/>
    <mergeCell ref="J43:L43"/>
    <mergeCell ref="A34:L34"/>
    <mergeCell ref="A35:L35"/>
    <mergeCell ref="B36:L36"/>
    <mergeCell ref="A37:L37"/>
    <mergeCell ref="A39:E39"/>
    <mergeCell ref="J39:L39"/>
    <mergeCell ref="A33:L33"/>
    <mergeCell ref="A25:F25"/>
    <mergeCell ref="G25:L25"/>
    <mergeCell ref="A26:G26"/>
    <mergeCell ref="H26:J26"/>
    <mergeCell ref="K26:L26"/>
    <mergeCell ref="A27:L27"/>
    <mergeCell ref="B28:L28"/>
    <mergeCell ref="A29:L29"/>
    <mergeCell ref="A30:L30"/>
    <mergeCell ref="A31:L31"/>
    <mergeCell ref="B32:L32"/>
    <mergeCell ref="A22:I22"/>
    <mergeCell ref="K22:L22"/>
    <mergeCell ref="A23:I23"/>
    <mergeCell ref="J23:L23"/>
    <mergeCell ref="A24:B24"/>
    <mergeCell ref="D24:E24"/>
    <mergeCell ref="F24:G24"/>
    <mergeCell ref="I24:L24"/>
    <mergeCell ref="B21:I21"/>
    <mergeCell ref="J21:L21"/>
    <mergeCell ref="A13:F13"/>
    <mergeCell ref="G13:H13"/>
    <mergeCell ref="K13:L13"/>
    <mergeCell ref="A15:B15"/>
    <mergeCell ref="F15:H15"/>
    <mergeCell ref="J15:L15"/>
    <mergeCell ref="A18:B18"/>
    <mergeCell ref="C18:I18"/>
    <mergeCell ref="J18:K18"/>
    <mergeCell ref="A19:E19"/>
    <mergeCell ref="F19:K19"/>
    <mergeCell ref="A14:B14"/>
    <mergeCell ref="E14:F14"/>
    <mergeCell ref="G14:H14"/>
    <mergeCell ref="A16:B16"/>
    <mergeCell ref="C16:F16"/>
    <mergeCell ref="A17:C17"/>
    <mergeCell ref="D17:E17"/>
    <mergeCell ref="A2:C2"/>
    <mergeCell ref="A10:B10"/>
    <mergeCell ref="C10:L10"/>
    <mergeCell ref="A11:F11"/>
    <mergeCell ref="G11:L11"/>
    <mergeCell ref="A12:B12"/>
    <mergeCell ref="C12:L12"/>
    <mergeCell ref="I2:J2"/>
    <mergeCell ref="A6:L6"/>
    <mergeCell ref="A7:L7"/>
    <mergeCell ref="C9:I9"/>
    <mergeCell ref="J9:L9"/>
  </mergeCells>
  <pageMargins left="1.1023622047244095" right="0.70866141732283472" top="0.74803149606299213" bottom="0.74803149606299213" header="0.31496062992125984" footer="0.31496062992125984"/>
  <pageSetup paperSize="9" scale="69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5">
    <pageSetUpPr fitToPage="1"/>
  </sheetPr>
  <dimension ref="A3:Q63"/>
  <sheetViews>
    <sheetView showZeros="0" topLeftCell="A34" zoomScale="80" zoomScaleNormal="80" workbookViewId="0">
      <selection activeCell="H5" sqref="H5"/>
    </sheetView>
  </sheetViews>
  <sheetFormatPr defaultRowHeight="15" x14ac:dyDescent="0.25"/>
  <cols>
    <col min="3" max="3" width="12.85546875" bestFit="1" customWidth="1"/>
    <col min="6" max="6" width="14.140625" customWidth="1"/>
    <col min="8" max="8" width="9.140625" customWidth="1"/>
    <col min="10" max="10" width="11.140625" customWidth="1"/>
    <col min="15" max="15" width="11.42578125" customWidth="1"/>
    <col min="16" max="16" width="9.140625" customWidth="1"/>
    <col min="17" max="17" width="16" customWidth="1"/>
  </cols>
  <sheetData>
    <row r="3" spans="1:17" ht="2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27" thickBot="1" x14ac:dyDescent="0.45">
      <c r="A4" s="351" t="s">
        <v>82</v>
      </c>
      <c r="B4" s="351"/>
      <c r="C4" s="351"/>
      <c r="D4" s="351"/>
      <c r="E4" s="351"/>
      <c r="F4" s="351"/>
      <c r="G4" s="351"/>
      <c r="H4" s="351"/>
      <c r="I4" s="351"/>
      <c r="J4" s="351"/>
      <c r="K4" s="351"/>
      <c r="L4" s="351"/>
      <c r="M4" s="351"/>
      <c r="N4" s="351"/>
      <c r="O4" s="351"/>
      <c r="P4" s="351"/>
      <c r="Q4" s="351"/>
    </row>
    <row r="5" spans="1:17" ht="21.75" thickBot="1" x14ac:dyDescent="0.4">
      <c r="A5" s="1"/>
      <c r="B5" s="1"/>
      <c r="C5" s="1"/>
      <c r="D5" s="1"/>
      <c r="E5" s="1"/>
      <c r="F5" s="1"/>
      <c r="G5" s="1"/>
      <c r="H5" s="1"/>
      <c r="I5" s="1"/>
      <c r="J5" s="5" t="s">
        <v>12</v>
      </c>
      <c r="K5" s="219">
        <f ca="1">'Пр №1'!J3</f>
        <v>21</v>
      </c>
      <c r="L5" s="220">
        <f ca="1">'Пр №1'!K3</f>
        <v>11</v>
      </c>
      <c r="M5" s="220">
        <f ca="1">'Пр №1'!L3</f>
        <v>2025</v>
      </c>
      <c r="N5" s="226">
        <f ca="1">'Пр №1'!M3</f>
        <v>45982.790570370373</v>
      </c>
      <c r="O5" s="227">
        <f>'Акт слом'!O5</f>
        <v>1</v>
      </c>
    </row>
    <row r="6" spans="1:17" ht="21" x14ac:dyDescent="0.35">
      <c r="A6" s="1"/>
      <c r="B6" s="296" t="str">
        <f>Дог.!B13</f>
        <v xml:space="preserve">г. Бишкек </v>
      </c>
      <c r="C6" s="296"/>
      <c r="D6" s="296"/>
      <c r="E6" s="296"/>
      <c r="F6" s="1"/>
      <c r="G6" s="1"/>
      <c r="H6" s="1"/>
      <c r="I6" s="7" t="str">
        <f>'Пр №1'!I5</f>
        <v xml:space="preserve"> «</v>
      </c>
      <c r="J6" s="5">
        <f ca="1">'Пр №1'!J5</f>
        <v>21</v>
      </c>
      <c r="K6" s="1" t="str">
        <f>'Пр №1'!K5</f>
        <v>»</v>
      </c>
      <c r="L6" s="296" t="str">
        <f ca="1">'Пр №1'!L5</f>
        <v>Ноябрь</v>
      </c>
      <c r="M6" s="296"/>
      <c r="N6" s="1">
        <f ca="1">'Пр №1'!N5</f>
        <v>2025</v>
      </c>
      <c r="O6" s="1" t="str">
        <f>'Пр №1'!O5</f>
        <v>г.</v>
      </c>
    </row>
    <row r="7" spans="1:17" ht="21" x14ac:dyDescent="0.35">
      <c r="A7" s="305" t="str">
        <f>'Акт расч'!A7:E7</f>
        <v>Зинченко Михаил Александрович</v>
      </c>
      <c r="B7" s="305"/>
      <c r="C7" s="305"/>
      <c r="D7" s="305"/>
      <c r="E7" s="305"/>
      <c r="F7" s="305"/>
      <c r="G7" s="355" t="str">
        <f>'Акт расч'!G7:Q7</f>
        <v>22.12.2006 года рождения, паспорт: ID3219844 выдан MKK 218011от 12.02.2023 г.</v>
      </c>
      <c r="H7" s="355"/>
      <c r="I7" s="355"/>
      <c r="J7" s="355"/>
      <c r="K7" s="355"/>
      <c r="L7" s="355"/>
      <c r="M7" s="355"/>
      <c r="N7" s="355"/>
      <c r="O7" s="355"/>
      <c r="P7" s="355"/>
      <c r="Q7" s="355"/>
    </row>
    <row r="8" spans="1:17" ht="21" x14ac:dyDescent="0.35">
      <c r="A8" s="353" t="str">
        <f>'Пр №1'!A7:Q7</f>
        <v>зарегистрированный по адресу город Бишкек, улица Ялтинская 56/1, действующий на основании Свидетельства о государственной</v>
      </c>
      <c r="B8" s="353"/>
      <c r="C8" s="353"/>
      <c r="D8" s="353"/>
      <c r="E8" s="353"/>
      <c r="F8" s="353"/>
      <c r="G8" s="353"/>
      <c r="H8" s="353"/>
      <c r="I8" s="353"/>
      <c r="J8" s="353"/>
      <c r="K8" s="353"/>
      <c r="L8" s="353"/>
      <c r="M8" s="353"/>
      <c r="N8" s="353"/>
      <c r="O8" s="353"/>
      <c r="P8" s="353"/>
      <c r="Q8" s="353"/>
    </row>
    <row r="9" spans="1:17" ht="21" x14ac:dyDescent="0.35">
      <c r="A9" s="353" t="str">
        <f>'Пр №1'!A8:Q8</f>
        <v>регистрации индивидуального предпринимателя по Свердловскому району г. Бишкек № 003-2024-169-5930 от 08.08.2024</v>
      </c>
      <c r="B9" s="353"/>
      <c r="C9" s="353"/>
      <c r="D9" s="353"/>
      <c r="E9" s="353"/>
      <c r="F9" s="353"/>
      <c r="G9" s="353"/>
      <c r="H9" s="353"/>
      <c r="I9" s="353"/>
      <c r="J9" s="353"/>
      <c r="K9" s="353"/>
      <c r="L9" s="353"/>
      <c r="M9" s="353"/>
      <c r="N9" s="353"/>
      <c r="O9" s="353"/>
      <c r="P9" s="353"/>
      <c r="Q9" s="353"/>
    </row>
    <row r="10" spans="1:17" ht="21" x14ac:dyDescent="0.25">
      <c r="A10" s="27" t="s">
        <v>28</v>
      </c>
      <c r="B10" s="555">
        <f>'Пр №1'!C9</f>
        <v>22212200650516</v>
      </c>
      <c r="C10" s="555"/>
      <c r="D10" s="555"/>
      <c r="E10" s="554" t="str">
        <f>A54</f>
        <v>Банковские реквизиты:</v>
      </c>
      <c r="F10" s="554"/>
      <c r="G10" s="554"/>
      <c r="H10" s="554" t="str">
        <f>A55</f>
        <v>ОАО Комерческий банк Кыргызстан</v>
      </c>
      <c r="I10" s="554"/>
      <c r="J10" s="554"/>
      <c r="K10" s="554"/>
      <c r="L10" s="554"/>
      <c r="M10" s="554"/>
      <c r="N10" s="554"/>
      <c r="O10" s="554"/>
      <c r="P10" s="243" t="str">
        <f>A57</f>
        <v>БИК:</v>
      </c>
      <c r="Q10" s="117">
        <f>B57</f>
        <v>103001</v>
      </c>
    </row>
    <row r="11" spans="1:17" ht="21" x14ac:dyDescent="0.35">
      <c r="A11" s="17" t="str">
        <f>A56</f>
        <v>р/c:</v>
      </c>
      <c r="B11" s="539" t="str">
        <f>B56</f>
        <v>"1030120300369929"</v>
      </c>
      <c r="C11" s="322"/>
      <c r="D11" s="322"/>
      <c r="E11" s="322"/>
      <c r="F11" s="322"/>
      <c r="G11" s="354" t="str">
        <f>A58</f>
        <v>УГНС 003 Свердловского района</v>
      </c>
      <c r="H11" s="354"/>
      <c r="I11" s="354"/>
      <c r="J11" s="354"/>
      <c r="K11" s="354"/>
      <c r="L11" s="29"/>
      <c r="M11" s="17"/>
      <c r="N11" s="17"/>
      <c r="O11" s="17"/>
      <c r="P11" s="17"/>
      <c r="Q11" s="27"/>
    </row>
    <row r="12" spans="1:17" ht="21.75" thickBot="1" x14ac:dyDescent="0.4">
      <c r="A12" s="1"/>
      <c r="B12" s="538"/>
      <c r="C12" s="538"/>
      <c r="D12" s="296"/>
      <c r="E12" s="296"/>
      <c r="F12" s="296"/>
      <c r="G12" s="296"/>
      <c r="H12" s="2"/>
      <c r="I12" s="5"/>
      <c r="J12" s="2"/>
      <c r="K12" s="2"/>
      <c r="L12" s="2"/>
      <c r="M12" s="2"/>
      <c r="N12" s="1"/>
      <c r="O12" s="1"/>
      <c r="P12" s="1"/>
      <c r="Q12" s="18"/>
    </row>
    <row r="13" spans="1:17" ht="21.75" thickBot="1" x14ac:dyDescent="0.4">
      <c r="A13" s="311" t="s">
        <v>51</v>
      </c>
      <c r="B13" s="311"/>
      <c r="C13" s="311"/>
      <c r="D13" s="311"/>
      <c r="E13" s="311"/>
      <c r="F13" s="311"/>
      <c r="G13" s="311"/>
      <c r="H13" s="311"/>
      <c r="I13" s="311"/>
      <c r="J13" s="5" t="s">
        <v>12</v>
      </c>
      <c r="K13" s="219">
        <f ca="1">K5</f>
        <v>21</v>
      </c>
      <c r="L13" s="220">
        <f ca="1">L5</f>
        <v>11</v>
      </c>
      <c r="M13" s="220">
        <f ca="1">M5</f>
        <v>2025</v>
      </c>
      <c r="N13" s="226">
        <f ca="1">N5</f>
        <v>45982.790570370373</v>
      </c>
      <c r="O13" s="227">
        <f>O5</f>
        <v>1</v>
      </c>
    </row>
    <row r="14" spans="1:17" ht="21" x14ac:dyDescent="0.35">
      <c r="A14" s="307" t="s">
        <v>137</v>
      </c>
      <c r="B14" s="307"/>
      <c r="C14" s="307"/>
      <c r="D14" s="307"/>
      <c r="E14" s="307"/>
      <c r="F14" s="307"/>
      <c r="G14" s="307"/>
      <c r="H14" s="307"/>
      <c r="I14" s="307"/>
      <c r="J14" s="307"/>
      <c r="K14" s="307"/>
      <c r="L14" s="307"/>
      <c r="M14" s="307"/>
      <c r="N14" s="307"/>
      <c r="O14" s="307"/>
      <c r="P14" s="307"/>
      <c r="Q14" s="307"/>
    </row>
    <row r="15" spans="1:17" ht="21" x14ac:dyDescent="0.35">
      <c r="A15" s="464" t="s">
        <v>67</v>
      </c>
      <c r="B15" s="464"/>
      <c r="C15" s="553" t="str">
        <f>'Акт расч'!A11</f>
        <v>{{CLIENT_FULLNAME}}</v>
      </c>
      <c r="D15" s="553"/>
      <c r="E15" s="553"/>
      <c r="F15" s="553"/>
      <c r="G15" s="553"/>
      <c r="H15" s="553"/>
      <c r="I15" s="553"/>
      <c r="J15" s="553"/>
      <c r="K15" s="553"/>
      <c r="L15" s="30"/>
      <c r="M15" s="30"/>
      <c r="N15" s="30"/>
      <c r="O15" s="30"/>
      <c r="P15" s="30"/>
      <c r="Q15" s="30"/>
    </row>
    <row r="16" spans="1:17" ht="21" x14ac:dyDescent="0.25">
      <c r="A16" s="25" t="s">
        <v>12</v>
      </c>
      <c r="B16" s="377" t="s">
        <v>59</v>
      </c>
      <c r="C16" s="378"/>
      <c r="D16" s="378"/>
      <c r="E16" s="378"/>
      <c r="F16" s="378"/>
      <c r="G16" s="379"/>
      <c r="H16" s="392" t="s">
        <v>77</v>
      </c>
      <c r="I16" s="392"/>
      <c r="J16" s="375" t="s">
        <v>69</v>
      </c>
      <c r="K16" s="375"/>
      <c r="L16" s="375" t="s">
        <v>60</v>
      </c>
      <c r="M16" s="375"/>
      <c r="N16" s="375" t="s">
        <v>61</v>
      </c>
      <c r="O16" s="375"/>
      <c r="P16" s="375" t="s">
        <v>68</v>
      </c>
      <c r="Q16" s="375"/>
    </row>
    <row r="17" spans="1:17" ht="21" x14ac:dyDescent="0.25">
      <c r="A17" s="28">
        <v>1</v>
      </c>
      <c r="B17" s="542" t="str">
        <f>'Акт расч'!B20</f>
        <v>{{TOOL_NAME}}</v>
      </c>
      <c r="C17" s="543"/>
      <c r="D17" s="543"/>
      <c r="E17" s="543"/>
      <c r="F17" s="543"/>
      <c r="G17" s="544"/>
      <c r="H17" s="445">
        <f>'Акт расч'!J20</f>
        <v>1</v>
      </c>
      <c r="I17" s="445"/>
      <c r="J17" s="445">
        <f ca="1">'Акт расч'!L20</f>
        <v>0</v>
      </c>
      <c r="K17" s="445"/>
      <c r="L17" s="445" t="str">
        <f>'Акт расч'!M20</f>
        <v>Сут</v>
      </c>
      <c r="M17" s="445"/>
      <c r="N17" s="552">
        <f>'Акт расч'!N20</f>
        <v>1500</v>
      </c>
      <c r="O17" s="552"/>
      <c r="P17" s="540">
        <f ca="1">'Акт расч'!P20</f>
        <v>0</v>
      </c>
      <c r="Q17" s="540"/>
    </row>
    <row r="18" spans="1:17" ht="21" x14ac:dyDescent="0.25">
      <c r="A18" s="28">
        <v>2</v>
      </c>
      <c r="B18" s="542">
        <f>'Акт расч'!B22</f>
        <v>0</v>
      </c>
      <c r="C18" s="543"/>
      <c r="D18" s="543"/>
      <c r="E18" s="543"/>
      <c r="F18" s="543"/>
      <c r="G18" s="544"/>
      <c r="H18" s="445">
        <f>'Акт расч'!J22</f>
        <v>0</v>
      </c>
      <c r="I18" s="445"/>
      <c r="J18" s="445">
        <f>'Акт расч'!L22</f>
        <v>0</v>
      </c>
      <c r="K18" s="445"/>
      <c r="L18" s="445">
        <f>'Акт расч'!M22</f>
        <v>0</v>
      </c>
      <c r="M18" s="445"/>
      <c r="N18" s="552">
        <f>'Акт расч'!N22</f>
        <v>0</v>
      </c>
      <c r="O18" s="552"/>
      <c r="P18" s="540">
        <f>'Акт расч'!P22</f>
        <v>0</v>
      </c>
      <c r="Q18" s="540"/>
    </row>
    <row r="19" spans="1:17" ht="21" x14ac:dyDescent="0.25">
      <c r="A19" s="28">
        <v>3</v>
      </c>
      <c r="B19" s="542">
        <f>'Акт расч'!B24</f>
        <v>0</v>
      </c>
      <c r="C19" s="543"/>
      <c r="D19" s="543"/>
      <c r="E19" s="543"/>
      <c r="F19" s="543"/>
      <c r="G19" s="544"/>
      <c r="H19" s="445">
        <f>'Акт расч'!J24</f>
        <v>0</v>
      </c>
      <c r="I19" s="445"/>
      <c r="J19" s="445">
        <f>'Акт расч'!L24</f>
        <v>0</v>
      </c>
      <c r="K19" s="445"/>
      <c r="L19" s="445">
        <f>'Акт расч'!M24</f>
        <v>0</v>
      </c>
      <c r="M19" s="445"/>
      <c r="N19" s="552">
        <f>'Акт расч'!N24</f>
        <v>0</v>
      </c>
      <c r="O19" s="552"/>
      <c r="P19" s="540">
        <f>'Акт расч'!P24</f>
        <v>0</v>
      </c>
      <c r="Q19" s="540"/>
    </row>
    <row r="20" spans="1:17" ht="21" x14ac:dyDescent="0.25">
      <c r="A20" s="28">
        <v>4</v>
      </c>
      <c r="B20" s="542">
        <f>'Акт расч'!B26</f>
        <v>0</v>
      </c>
      <c r="C20" s="543"/>
      <c r="D20" s="543"/>
      <c r="E20" s="543"/>
      <c r="F20" s="543"/>
      <c r="G20" s="544"/>
      <c r="H20" s="445">
        <f>'Акт расч'!J26</f>
        <v>0</v>
      </c>
      <c r="I20" s="445"/>
      <c r="J20" s="445">
        <f>'Акт расч'!L26</f>
        <v>0</v>
      </c>
      <c r="K20" s="445"/>
      <c r="L20" s="445">
        <f>'Акт расч'!M26</f>
        <v>0</v>
      </c>
      <c r="M20" s="445"/>
      <c r="N20" s="552">
        <f>'Акт расч'!N26</f>
        <v>0</v>
      </c>
      <c r="O20" s="552"/>
      <c r="P20" s="540">
        <f>'Акт расч'!P26</f>
        <v>0</v>
      </c>
      <c r="Q20" s="540"/>
    </row>
    <row r="21" spans="1:17" ht="21" x14ac:dyDescent="0.25">
      <c r="A21" s="28">
        <v>5</v>
      </c>
      <c r="B21" s="542">
        <f>'Акт расч'!B28</f>
        <v>0</v>
      </c>
      <c r="C21" s="543"/>
      <c r="D21" s="543"/>
      <c r="E21" s="543"/>
      <c r="F21" s="543"/>
      <c r="G21" s="544"/>
      <c r="H21" s="445">
        <f>'Акт расч'!J28</f>
        <v>0</v>
      </c>
      <c r="I21" s="445"/>
      <c r="J21" s="445">
        <f>'Акт расч'!L28</f>
        <v>0</v>
      </c>
      <c r="K21" s="445"/>
      <c r="L21" s="445">
        <f>'Акт расч'!M28</f>
        <v>0</v>
      </c>
      <c r="M21" s="445"/>
      <c r="N21" s="552">
        <f>'Акт расч'!N28</f>
        <v>0</v>
      </c>
      <c r="O21" s="552"/>
      <c r="P21" s="540">
        <f>'Акт расч'!P28</f>
        <v>0</v>
      </c>
      <c r="Q21" s="540"/>
    </row>
    <row r="22" spans="1:17" ht="21" x14ac:dyDescent="0.25">
      <c r="A22" s="28">
        <v>6</v>
      </c>
      <c r="B22" s="542">
        <f>'Акт расч'!B30</f>
        <v>0</v>
      </c>
      <c r="C22" s="543"/>
      <c r="D22" s="543"/>
      <c r="E22" s="543"/>
      <c r="F22" s="543"/>
      <c r="G22" s="544"/>
      <c r="H22" s="445">
        <f>'Акт расч'!J30</f>
        <v>0</v>
      </c>
      <c r="I22" s="445"/>
      <c r="J22" s="445">
        <f>'Акт расч'!L30</f>
        <v>0</v>
      </c>
      <c r="K22" s="445"/>
      <c r="L22" s="445">
        <f>'Акт расч'!M30</f>
        <v>0</v>
      </c>
      <c r="M22" s="445"/>
      <c r="N22" s="552">
        <f>'Акт расч'!N30</f>
        <v>0</v>
      </c>
      <c r="O22" s="552"/>
      <c r="P22" s="540">
        <f>'Акт расч'!P30</f>
        <v>0</v>
      </c>
      <c r="Q22" s="540"/>
    </row>
    <row r="23" spans="1:17" ht="21" x14ac:dyDescent="0.25">
      <c r="A23" s="28">
        <v>7</v>
      </c>
      <c r="B23" s="542">
        <f>'Акт расч'!B32</f>
        <v>0</v>
      </c>
      <c r="C23" s="543"/>
      <c r="D23" s="543"/>
      <c r="E23" s="543"/>
      <c r="F23" s="543"/>
      <c r="G23" s="544"/>
      <c r="H23" s="445">
        <f>'Акт расч'!J32</f>
        <v>0</v>
      </c>
      <c r="I23" s="445"/>
      <c r="J23" s="445">
        <f>'Акт расч'!L32</f>
        <v>0</v>
      </c>
      <c r="K23" s="445"/>
      <c r="L23" s="445">
        <f>'Акт расч'!M32</f>
        <v>0</v>
      </c>
      <c r="M23" s="445"/>
      <c r="N23" s="552">
        <f>'Акт расч'!N32</f>
        <v>0</v>
      </c>
      <c r="O23" s="552"/>
      <c r="P23" s="540">
        <f>'Акт расч'!P32</f>
        <v>0</v>
      </c>
      <c r="Q23" s="540"/>
    </row>
    <row r="24" spans="1:17" ht="21" x14ac:dyDescent="0.25">
      <c r="A24" s="28">
        <v>8</v>
      </c>
      <c r="B24" s="542">
        <f>'Акт расч'!B34</f>
        <v>0</v>
      </c>
      <c r="C24" s="543"/>
      <c r="D24" s="543"/>
      <c r="E24" s="543"/>
      <c r="F24" s="543"/>
      <c r="G24" s="544"/>
      <c r="H24" s="445">
        <f>'Акт расч'!J34</f>
        <v>0</v>
      </c>
      <c r="I24" s="445"/>
      <c r="J24" s="445">
        <f>'Акт расч'!L34</f>
        <v>0</v>
      </c>
      <c r="K24" s="445"/>
      <c r="L24" s="445">
        <f>'Акт расч'!M34</f>
        <v>0</v>
      </c>
      <c r="M24" s="445"/>
      <c r="N24" s="552">
        <f>'Акт расч'!N34</f>
        <v>0</v>
      </c>
      <c r="O24" s="552"/>
      <c r="P24" s="540">
        <f>'Акт расч'!P34</f>
        <v>0</v>
      </c>
      <c r="Q24" s="540"/>
    </row>
    <row r="25" spans="1:17" ht="21" x14ac:dyDescent="0.25">
      <c r="A25" s="28">
        <v>9</v>
      </c>
      <c r="B25" s="542">
        <f>'Акт расч'!B36</f>
        <v>0</v>
      </c>
      <c r="C25" s="543"/>
      <c r="D25" s="543"/>
      <c r="E25" s="543"/>
      <c r="F25" s="543"/>
      <c r="G25" s="544"/>
      <c r="H25" s="445">
        <f>'Акт расч'!J36</f>
        <v>0</v>
      </c>
      <c r="I25" s="445"/>
      <c r="J25" s="445">
        <f>'Акт расч'!L36</f>
        <v>0</v>
      </c>
      <c r="K25" s="445"/>
      <c r="L25" s="445">
        <f>'Акт расч'!M36</f>
        <v>0</v>
      </c>
      <c r="M25" s="445"/>
      <c r="N25" s="552">
        <f>'Акт расч'!N36</f>
        <v>0</v>
      </c>
      <c r="O25" s="552"/>
      <c r="P25" s="540">
        <f>'Акт расч'!P36</f>
        <v>0</v>
      </c>
      <c r="Q25" s="540"/>
    </row>
    <row r="26" spans="1:17" ht="21" x14ac:dyDescent="0.25">
      <c r="A26" s="28">
        <v>10</v>
      </c>
      <c r="B26" s="542">
        <f>'Акт расч'!B38</f>
        <v>0</v>
      </c>
      <c r="C26" s="543"/>
      <c r="D26" s="543"/>
      <c r="E26" s="543"/>
      <c r="F26" s="543"/>
      <c r="G26" s="544"/>
      <c r="H26" s="445">
        <f>'Акт расч'!J38</f>
        <v>0</v>
      </c>
      <c r="I26" s="445"/>
      <c r="J26" s="445">
        <f>'Акт расч'!L38</f>
        <v>0</v>
      </c>
      <c r="K26" s="445"/>
      <c r="L26" s="445">
        <f>'Акт расч'!M38</f>
        <v>0</v>
      </c>
      <c r="M26" s="445"/>
      <c r="N26" s="552">
        <f>'Акт расч'!N38</f>
        <v>0</v>
      </c>
      <c r="O26" s="552"/>
      <c r="P26" s="540">
        <f>'Акт расч'!P38</f>
        <v>0</v>
      </c>
      <c r="Q26" s="540"/>
    </row>
    <row r="27" spans="1:17" ht="21" x14ac:dyDescent="0.25">
      <c r="A27" s="28">
        <v>11</v>
      </c>
      <c r="B27" s="542"/>
      <c r="C27" s="543"/>
      <c r="D27" s="543"/>
      <c r="E27" s="543"/>
      <c r="F27" s="543"/>
      <c r="G27" s="544"/>
      <c r="H27" s="445"/>
      <c r="I27" s="445"/>
      <c r="J27" s="445"/>
      <c r="K27" s="445"/>
      <c r="L27" s="445"/>
      <c r="M27" s="445"/>
      <c r="N27" s="552"/>
      <c r="O27" s="552"/>
      <c r="P27" s="540"/>
      <c r="Q27" s="540"/>
    </row>
    <row r="28" spans="1:17" ht="21" x14ac:dyDescent="0.25">
      <c r="A28" s="28">
        <v>12</v>
      </c>
      <c r="B28" s="542"/>
      <c r="C28" s="543"/>
      <c r="D28" s="543"/>
      <c r="E28" s="543"/>
      <c r="F28" s="543"/>
      <c r="G28" s="544"/>
      <c r="H28" s="445"/>
      <c r="I28" s="445"/>
      <c r="J28" s="445"/>
      <c r="K28" s="445"/>
      <c r="L28" s="445"/>
      <c r="M28" s="445"/>
      <c r="N28" s="552"/>
      <c r="O28" s="552"/>
      <c r="P28" s="540"/>
      <c r="Q28" s="540"/>
    </row>
    <row r="29" spans="1:17" ht="21" x14ac:dyDescent="0.25">
      <c r="A29" s="28">
        <v>13</v>
      </c>
      <c r="B29" s="542"/>
      <c r="C29" s="543"/>
      <c r="D29" s="543"/>
      <c r="E29" s="543"/>
      <c r="F29" s="543"/>
      <c r="G29" s="544"/>
      <c r="H29" s="445"/>
      <c r="I29" s="445"/>
      <c r="J29" s="445"/>
      <c r="K29" s="445"/>
      <c r="L29" s="445"/>
      <c r="M29" s="445"/>
      <c r="N29" s="552"/>
      <c r="O29" s="552"/>
      <c r="P29" s="540"/>
      <c r="Q29" s="540"/>
    </row>
    <row r="30" spans="1:17" ht="21" x14ac:dyDescent="0.25">
      <c r="A30" s="28">
        <v>14</v>
      </c>
      <c r="B30" s="542"/>
      <c r="C30" s="543"/>
      <c r="D30" s="543"/>
      <c r="E30" s="543"/>
      <c r="F30" s="543"/>
      <c r="G30" s="544"/>
      <c r="H30" s="445"/>
      <c r="I30" s="445"/>
      <c r="J30" s="445"/>
      <c r="K30" s="445"/>
      <c r="L30" s="445"/>
      <c r="M30" s="445"/>
      <c r="N30" s="552"/>
      <c r="O30" s="552"/>
      <c r="P30" s="540"/>
      <c r="Q30" s="540"/>
    </row>
    <row r="31" spans="1:17" ht="21" x14ac:dyDescent="0.25">
      <c r="A31" s="28">
        <v>15</v>
      </c>
      <c r="B31" s="542"/>
      <c r="C31" s="543"/>
      <c r="D31" s="543"/>
      <c r="E31" s="543"/>
      <c r="F31" s="543"/>
      <c r="G31" s="544"/>
      <c r="H31" s="445"/>
      <c r="I31" s="445"/>
      <c r="J31" s="445"/>
      <c r="K31" s="445"/>
      <c r="L31" s="445"/>
      <c r="M31" s="445"/>
      <c r="N31" s="552"/>
      <c r="O31" s="552"/>
      <c r="P31" s="540"/>
      <c r="Q31" s="540"/>
    </row>
    <row r="32" spans="1:17" ht="23.25" x14ac:dyDescent="0.35">
      <c r="A32" s="28">
        <v>16</v>
      </c>
      <c r="B32" s="542"/>
      <c r="C32" s="543"/>
      <c r="D32" s="543"/>
      <c r="E32" s="543"/>
      <c r="F32" s="543"/>
      <c r="G32" s="544"/>
      <c r="H32" s="445"/>
      <c r="I32" s="445"/>
      <c r="J32" s="445"/>
      <c r="K32" s="445"/>
      <c r="L32" s="445"/>
      <c r="M32" s="445"/>
      <c r="N32" s="548" t="s">
        <v>62</v>
      </c>
      <c r="O32" s="549"/>
      <c r="P32" s="405">
        <f ca="1">SUM(P17:Q31)</f>
        <v>0</v>
      </c>
      <c r="Q32" s="405"/>
    </row>
    <row r="33" spans="1:17" ht="23.25" x14ac:dyDescent="0.35">
      <c r="A33" s="28">
        <v>17</v>
      </c>
      <c r="B33" s="542"/>
      <c r="C33" s="543"/>
      <c r="D33" s="543"/>
      <c r="E33" s="543"/>
      <c r="F33" s="543"/>
      <c r="G33" s="544"/>
      <c r="H33" s="445"/>
      <c r="I33" s="445"/>
      <c r="J33" s="445"/>
      <c r="K33" s="445"/>
      <c r="L33" s="445"/>
      <c r="M33" s="445"/>
      <c r="N33" s="548"/>
      <c r="O33" s="549"/>
      <c r="P33" s="540"/>
      <c r="Q33" s="540"/>
    </row>
    <row r="34" spans="1:17" ht="23.25" x14ac:dyDescent="0.35">
      <c r="A34" s="28">
        <v>18</v>
      </c>
      <c r="B34" s="542"/>
      <c r="C34" s="543"/>
      <c r="D34" s="543"/>
      <c r="E34" s="543"/>
      <c r="F34" s="543"/>
      <c r="G34" s="544"/>
      <c r="H34" s="445"/>
      <c r="I34" s="445"/>
      <c r="J34" s="445"/>
      <c r="K34" s="445"/>
      <c r="L34" s="445"/>
      <c r="M34" s="445"/>
      <c r="N34" s="545"/>
      <c r="O34" s="546"/>
      <c r="P34" s="404"/>
      <c r="Q34" s="404"/>
    </row>
    <row r="35" spans="1:17" ht="23.25" x14ac:dyDescent="0.35">
      <c r="A35" s="28">
        <v>19</v>
      </c>
      <c r="B35" s="542"/>
      <c r="C35" s="543"/>
      <c r="D35" s="543"/>
      <c r="E35" s="543"/>
      <c r="F35" s="543"/>
      <c r="G35" s="544"/>
      <c r="H35" s="445"/>
      <c r="I35" s="445"/>
      <c r="J35" s="445"/>
      <c r="K35" s="445"/>
      <c r="L35" s="445"/>
      <c r="M35" s="445"/>
      <c r="N35" s="550"/>
      <c r="O35" s="551"/>
      <c r="P35" s="405"/>
      <c r="Q35" s="405"/>
    </row>
    <row r="36" spans="1:17" ht="21" x14ac:dyDescent="0.25">
      <c r="A36" s="28">
        <v>20</v>
      </c>
      <c r="B36" s="542"/>
      <c r="C36" s="543"/>
      <c r="D36" s="543"/>
      <c r="E36" s="543"/>
      <c r="F36" s="543"/>
      <c r="G36" s="544"/>
      <c r="H36" s="445"/>
      <c r="I36" s="445"/>
      <c r="J36" s="445"/>
      <c r="K36" s="445"/>
      <c r="L36" s="445"/>
      <c r="M36" s="445"/>
      <c r="N36" s="541"/>
      <c r="O36" s="541"/>
      <c r="P36" s="404"/>
      <c r="Q36" s="404"/>
    </row>
    <row r="37" spans="1:17" ht="21" x14ac:dyDescent="0.25">
      <c r="A37" s="28">
        <v>21</v>
      </c>
      <c r="B37" s="556"/>
      <c r="C37" s="556"/>
      <c r="D37" s="556"/>
      <c r="E37" s="556"/>
      <c r="F37" s="556"/>
      <c r="G37" s="556"/>
      <c r="H37" s="557"/>
      <c r="I37" s="558"/>
      <c r="J37" s="541"/>
      <c r="K37" s="541"/>
      <c r="L37" s="541"/>
      <c r="M37" s="541"/>
      <c r="N37" s="404"/>
      <c r="O37" s="541"/>
      <c r="P37" s="404"/>
      <c r="Q37" s="404"/>
    </row>
    <row r="38" spans="1:17" ht="21" x14ac:dyDescent="0.25">
      <c r="A38" s="28">
        <v>22</v>
      </c>
      <c r="B38" s="542"/>
      <c r="C38" s="543"/>
      <c r="D38" s="543"/>
      <c r="E38" s="543"/>
      <c r="F38" s="543"/>
      <c r="G38" s="544"/>
      <c r="H38" s="445"/>
      <c r="I38" s="445"/>
      <c r="J38" s="445"/>
      <c r="K38" s="445"/>
      <c r="L38" s="445"/>
      <c r="M38" s="445"/>
      <c r="N38" s="445"/>
      <c r="O38" s="445"/>
      <c r="P38" s="540"/>
      <c r="Q38" s="540"/>
    </row>
    <row r="39" spans="1:17" ht="21" x14ac:dyDescent="0.25">
      <c r="A39" s="28">
        <v>23</v>
      </c>
      <c r="B39" s="383" t="s">
        <v>136</v>
      </c>
      <c r="C39" s="384"/>
      <c r="D39" s="384"/>
      <c r="E39" s="384"/>
      <c r="F39" s="384"/>
      <c r="G39" s="384"/>
      <c r="H39" s="384"/>
      <c r="I39" s="384"/>
      <c r="J39" s="384"/>
      <c r="K39" s="384"/>
      <c r="L39" s="384"/>
      <c r="M39" s="384"/>
      <c r="N39" s="384"/>
      <c r="O39" s="385"/>
      <c r="P39" s="405">
        <f ca="1">P32</f>
        <v>0</v>
      </c>
      <c r="Q39" s="405"/>
    </row>
    <row r="40" spans="1:17" ht="21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ht="21" x14ac:dyDescent="0.35">
      <c r="A41" s="296" t="s">
        <v>65</v>
      </c>
      <c r="B41" s="296"/>
      <c r="C41" s="342" t="e">
        <f ca="1">[2]!ЧислоПрописьюВалюта(P39,2)</f>
        <v>#NAME?</v>
      </c>
      <c r="D41" s="342"/>
      <c r="E41" s="342"/>
      <c r="F41" s="342"/>
      <c r="G41" s="342"/>
      <c r="H41" s="342"/>
      <c r="I41" s="342"/>
      <c r="J41" s="342"/>
      <c r="K41" s="342"/>
      <c r="L41" s="342"/>
      <c r="M41" s="342"/>
      <c r="N41" s="342"/>
      <c r="O41" s="342"/>
      <c r="P41" s="342"/>
      <c r="Q41" s="342"/>
    </row>
    <row r="42" spans="1:17" ht="21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2"/>
      <c r="P42" s="2"/>
      <c r="Q42" s="3"/>
    </row>
    <row r="43" spans="1:17" ht="21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 ht="21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 ht="21" x14ac:dyDescent="0.35">
      <c r="A45" s="296" t="s">
        <v>6</v>
      </c>
      <c r="B45" s="296"/>
      <c r="C45" s="296"/>
      <c r="D45" s="296"/>
      <c r="E45" s="296"/>
      <c r="F45" s="296"/>
      <c r="G45" s="296"/>
      <c r="H45" s="296"/>
      <c r="I45" s="296"/>
      <c r="J45" s="296"/>
      <c r="K45" s="296"/>
      <c r="L45" s="296"/>
      <c r="M45" s="296"/>
      <c r="N45" s="296"/>
      <c r="O45" s="296"/>
      <c r="P45" s="296"/>
      <c r="Q45" s="296"/>
    </row>
    <row r="46" spans="1:17" ht="21" x14ac:dyDescent="0.35">
      <c r="A46" s="296" t="s">
        <v>45</v>
      </c>
      <c r="B46" s="296"/>
      <c r="C46" s="296"/>
      <c r="D46" s="296"/>
      <c r="E46" s="296"/>
      <c r="F46" s="296"/>
      <c r="G46" s="296"/>
      <c r="H46" s="1"/>
      <c r="I46" s="1"/>
      <c r="J46" s="296" t="s">
        <v>44</v>
      </c>
      <c r="K46" s="296"/>
      <c r="L46" s="296"/>
      <c r="M46" s="296"/>
      <c r="N46" s="296"/>
      <c r="O46" s="296"/>
      <c r="P46" s="296"/>
    </row>
    <row r="47" spans="1:17" ht="21" x14ac:dyDescent="0.35">
      <c r="A47" s="3" t="s">
        <v>10</v>
      </c>
      <c r="B47" s="307" t="str">
        <f>'Пр №1'!B50:G50</f>
        <v>Зинченко Михаил Александрович</v>
      </c>
      <c r="C47" s="307"/>
      <c r="D47" s="307"/>
      <c r="E47" s="307"/>
      <c r="F47" s="307"/>
      <c r="G47" s="307"/>
      <c r="H47" s="3"/>
      <c r="I47" s="3"/>
      <c r="J47" s="307" t="str">
        <f>'Акт расч'!J59:K59</f>
        <v>Ф.И.О.:</v>
      </c>
      <c r="K47" s="307"/>
      <c r="L47" s="307" t="str">
        <f>'Пр №1'!L50:Q50</f>
        <v>{{CLIENT_FULLNAME}}</v>
      </c>
      <c r="M47" s="307"/>
      <c r="N47" s="307"/>
      <c r="O47" s="307"/>
      <c r="P47" s="307"/>
      <c r="Q47" s="307"/>
    </row>
    <row r="48" spans="1:17" ht="21" x14ac:dyDescent="0.35">
      <c r="A48" s="3" t="s">
        <v>28</v>
      </c>
      <c r="B48" s="323">
        <f>'Пр №1'!B51:G51</f>
        <v>22212200650516</v>
      </c>
      <c r="C48" s="323"/>
      <c r="D48" s="323"/>
      <c r="E48" s="323"/>
      <c r="F48" s="323"/>
      <c r="G48" s="323"/>
      <c r="H48" s="3"/>
      <c r="I48" s="12"/>
      <c r="J48" s="323" t="str">
        <f>'Акт расч'!J60:K60</f>
        <v>ПИН:</v>
      </c>
      <c r="K48" s="323"/>
      <c r="L48" s="323" t="str">
        <f>'Пр №1'!L51:P51</f>
        <v>ХХХХ</v>
      </c>
      <c r="M48" s="323"/>
      <c r="N48" s="323"/>
      <c r="O48" s="323"/>
      <c r="P48" s="323"/>
      <c r="Q48" s="23"/>
    </row>
    <row r="49" spans="1:17" ht="21" x14ac:dyDescent="0.35">
      <c r="A49" s="307" t="s">
        <v>29</v>
      </c>
      <c r="B49" s="307"/>
      <c r="C49" s="13" t="str">
        <f>'Пр №1'!C52</f>
        <v>ID</v>
      </c>
      <c r="D49" s="13" t="s">
        <v>12</v>
      </c>
      <c r="E49" s="307">
        <f>'Пр №1'!E52:G52</f>
        <v>1706490</v>
      </c>
      <c r="F49" s="307"/>
      <c r="G49" s="307"/>
      <c r="H49" s="3"/>
      <c r="I49" s="3"/>
      <c r="J49" s="307" t="str">
        <f>'Акт расч'!J61:K61</f>
        <v>Паспорт:</v>
      </c>
      <c r="K49" s="307"/>
      <c r="L49" s="13" t="str">
        <f>'Пр №1'!L52</f>
        <v>ХХХ</v>
      </c>
      <c r="M49" s="13" t="s">
        <v>12</v>
      </c>
      <c r="N49" s="307" t="str">
        <f>'Пр №1'!N52:O52</f>
        <v>ХХХХХ</v>
      </c>
      <c r="O49" s="307"/>
      <c r="P49" s="3"/>
    </row>
    <row r="50" spans="1:17" ht="21" x14ac:dyDescent="0.35">
      <c r="A50" s="307" t="s">
        <v>30</v>
      </c>
      <c r="B50" s="307"/>
      <c r="C50" s="307" t="str">
        <f>'Пр №1'!C53:G53</f>
        <v>МКК 211041 от 05.06.2020</v>
      </c>
      <c r="D50" s="307"/>
      <c r="E50" s="307"/>
      <c r="F50" s="307"/>
      <c r="G50" s="307"/>
      <c r="H50" s="16"/>
      <c r="I50" s="3"/>
      <c r="J50" s="307" t="str">
        <f>'Акт расч'!J62:K62</f>
        <v>Выдан:</v>
      </c>
      <c r="K50" s="307"/>
      <c r="L50" s="3" t="str">
        <f>'Пр №1'!L53</f>
        <v>МКК</v>
      </c>
      <c r="M50" s="292" t="str">
        <f>'Пр №1'!M53</f>
        <v>ХХХХ</v>
      </c>
      <c r="N50" s="292"/>
      <c r="O50" s="13" t="str">
        <f>'Пр №1'!N53</f>
        <v>от</v>
      </c>
      <c r="P50" s="547" t="str">
        <f>'Пр №1'!O53</f>
        <v>ХХХХ</v>
      </c>
      <c r="Q50" s="307"/>
    </row>
    <row r="51" spans="1:17" ht="21" x14ac:dyDescent="0.35">
      <c r="A51" s="307" t="s">
        <v>31</v>
      </c>
      <c r="B51" s="307"/>
      <c r="C51" s="307" t="str">
        <f>'Пр №1'!C54:G54</f>
        <v>г. Бишкек</v>
      </c>
      <c r="D51" s="307"/>
      <c r="E51" s="307"/>
      <c r="F51" s="307"/>
      <c r="G51" s="307"/>
      <c r="H51" s="11"/>
      <c r="I51" s="3"/>
      <c r="J51" s="307" t="str">
        <f>'Акт расч'!J63:K63</f>
        <v>Адрес:</v>
      </c>
      <c r="K51" s="307"/>
      <c r="L51" s="307" t="str">
        <f>'Пр №1'!L54:Q54</f>
        <v>Чуйская область г. Бишкек</v>
      </c>
      <c r="M51" s="307"/>
      <c r="N51" s="307"/>
      <c r="O51" s="307"/>
      <c r="P51" s="307"/>
      <c r="Q51" s="307"/>
    </row>
    <row r="52" spans="1:17" ht="21" x14ac:dyDescent="0.35">
      <c r="A52" s="307" t="str">
        <f>'Пр №1'!A55:G55</f>
        <v>ул. Ялтинская д. №  56</v>
      </c>
      <c r="B52" s="307"/>
      <c r="C52" s="307"/>
      <c r="D52" s="307"/>
      <c r="E52" s="307"/>
      <c r="F52" s="307"/>
      <c r="G52" s="307"/>
      <c r="H52" s="3"/>
      <c r="I52" s="3"/>
      <c r="J52" s="307" t="str">
        <f>'Пр №1'!J55:P55</f>
        <v>ул. ХХХХХ</v>
      </c>
      <c r="K52" s="307"/>
      <c r="L52" s="307"/>
      <c r="M52" s="307"/>
      <c r="N52" s="307"/>
      <c r="O52" s="307"/>
      <c r="P52" s="307"/>
      <c r="Q52" s="307"/>
    </row>
    <row r="53" spans="1:17" ht="21" x14ac:dyDescent="0.35">
      <c r="A53" s="307" t="s">
        <v>32</v>
      </c>
      <c r="B53" s="307"/>
      <c r="C53" s="307"/>
      <c r="D53" s="307">
        <f>'Пр №1'!D56:G56</f>
        <v>720051</v>
      </c>
      <c r="E53" s="307"/>
      <c r="F53" s="307"/>
      <c r="G53" s="307"/>
      <c r="H53" s="11"/>
      <c r="I53" s="3"/>
      <c r="J53" s="307" t="str">
        <f>'Акт расч'!J65:L65</f>
        <v>Почтовый индекс:</v>
      </c>
      <c r="K53" s="307"/>
      <c r="L53" s="307"/>
      <c r="M53" s="307">
        <f>'Пр №1'!M56:N56</f>
        <v>0</v>
      </c>
      <c r="N53" s="307"/>
      <c r="O53" s="3"/>
      <c r="P53" s="3"/>
    </row>
    <row r="54" spans="1:17" ht="21" x14ac:dyDescent="0.35">
      <c r="A54" s="307" t="s">
        <v>7</v>
      </c>
      <c r="B54" s="307"/>
      <c r="C54" s="307"/>
      <c r="D54" s="307"/>
      <c r="E54" s="307"/>
      <c r="F54" s="307"/>
      <c r="G54" s="307"/>
      <c r="H54" s="3"/>
      <c r="I54" s="3"/>
      <c r="J54" s="307" t="str">
        <f>'Акт расч'!J66:P66</f>
        <v>Банковские реквизиты:</v>
      </c>
      <c r="K54" s="307"/>
      <c r="L54" s="307"/>
      <c r="M54" s="307"/>
      <c r="N54" s="307"/>
      <c r="O54" s="307"/>
      <c r="P54" s="307"/>
    </row>
    <row r="55" spans="1:17" ht="21" x14ac:dyDescent="0.35">
      <c r="A55" s="307" t="str">
        <f>'Пр №1'!A58:G58</f>
        <v>ОАО Комерческий банк Кыргызстан</v>
      </c>
      <c r="B55" s="307"/>
      <c r="C55" s="307"/>
      <c r="D55" s="307"/>
      <c r="E55" s="307"/>
      <c r="F55" s="307"/>
      <c r="G55" s="307"/>
      <c r="H55" s="3"/>
      <c r="I55" s="3"/>
      <c r="J55" s="307">
        <f>'Пр №1'!J58:P58</f>
        <v>0</v>
      </c>
      <c r="K55" s="307"/>
      <c r="L55" s="307"/>
      <c r="M55" s="307"/>
      <c r="N55" s="307"/>
      <c r="O55" s="307"/>
      <c r="P55" s="307"/>
    </row>
    <row r="56" spans="1:17" ht="21" x14ac:dyDescent="0.35">
      <c r="A56" s="3" t="s">
        <v>49</v>
      </c>
      <c r="B56" s="323" t="str">
        <f>'Пр №1'!B59:G59</f>
        <v>"1030120300369929"</v>
      </c>
      <c r="C56" s="323"/>
      <c r="D56" s="323"/>
      <c r="E56" s="323"/>
      <c r="F56" s="323"/>
      <c r="G56" s="323"/>
      <c r="H56" s="3"/>
      <c r="I56" s="3"/>
      <c r="J56" s="3" t="str">
        <f>'Акт расч'!J68</f>
        <v>р/c:</v>
      </c>
      <c r="K56" s="323">
        <f>'Пр №1'!K59:P59</f>
        <v>0</v>
      </c>
      <c r="L56" s="323"/>
      <c r="M56" s="323"/>
      <c r="N56" s="323"/>
      <c r="O56" s="323"/>
      <c r="P56" s="323"/>
    </row>
    <row r="57" spans="1:17" ht="21" x14ac:dyDescent="0.35">
      <c r="A57" s="3" t="s">
        <v>9</v>
      </c>
      <c r="B57" s="307">
        <f>'Пр №1'!B60:G60</f>
        <v>103001</v>
      </c>
      <c r="C57" s="307"/>
      <c r="D57" s="307"/>
      <c r="E57" s="307"/>
      <c r="F57" s="307"/>
      <c r="G57" s="307"/>
      <c r="H57" s="3"/>
      <c r="I57" s="3"/>
      <c r="J57" s="3" t="str">
        <f>'Акт расч'!J69</f>
        <v>БИК:</v>
      </c>
      <c r="K57" s="307">
        <f>'Пр №1'!K60:P60</f>
        <v>0</v>
      </c>
      <c r="L57" s="307"/>
      <c r="M57" s="307"/>
      <c r="N57" s="307"/>
      <c r="O57" s="307"/>
      <c r="P57" s="307"/>
    </row>
    <row r="58" spans="1:17" ht="21" x14ac:dyDescent="0.35">
      <c r="A58" s="307" t="str">
        <f>'Пр №1'!A61:G61</f>
        <v>УГНС 003 Свердловского района</v>
      </c>
      <c r="B58" s="307"/>
      <c r="C58" s="307"/>
      <c r="D58" s="307"/>
      <c r="E58" s="307"/>
      <c r="F58" s="307"/>
      <c r="G58" s="307"/>
      <c r="H58" s="3"/>
      <c r="I58" s="3"/>
      <c r="J58" s="307" t="str">
        <f>'Акт расч'!J70:P70</f>
        <v>УГНС 000</v>
      </c>
      <c r="K58" s="307"/>
      <c r="L58" s="307"/>
      <c r="M58" s="307"/>
      <c r="N58" s="307"/>
      <c r="O58" s="307"/>
      <c r="P58" s="307"/>
    </row>
    <row r="59" spans="1:17" ht="21" x14ac:dyDescent="0.35">
      <c r="A59" s="3" t="str">
        <f>'Пр №1'!A62</f>
        <v>ОКПО:</v>
      </c>
      <c r="B59" s="292">
        <f>'Пр №1'!B62</f>
        <v>32282661</v>
      </c>
      <c r="C59" s="29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7" ht="21" x14ac:dyDescent="0.35">
      <c r="A60" s="292" t="str">
        <f>'Акт расч'!A72:C72</f>
        <v>Зинченко М. А.</v>
      </c>
      <c r="B60" s="292"/>
      <c r="C60" s="292"/>
      <c r="D60" s="292" t="str">
        <f>'Акт расч'!D72:F72</f>
        <v>________________________</v>
      </c>
      <c r="E60" s="292"/>
      <c r="F60" s="292"/>
      <c r="G60" s="3"/>
      <c r="H60" s="3"/>
      <c r="I60" s="3"/>
      <c r="J60" s="292" t="e">
        <f>'Пр №1'!J63:L63</f>
        <v>#VALUE!</v>
      </c>
      <c r="K60" s="292"/>
      <c r="L60" s="292"/>
      <c r="M60" s="307" t="s">
        <v>33</v>
      </c>
      <c r="N60" s="307"/>
      <c r="O60" s="307"/>
      <c r="P60" s="307"/>
    </row>
    <row r="61" spans="1:17" ht="21" x14ac:dyDescent="0.35">
      <c r="A61" s="3"/>
      <c r="B61" s="3"/>
      <c r="C61" s="3"/>
      <c r="D61" s="316" t="str">
        <f>'Акт расч'!D73:F73</f>
        <v>(подпись)</v>
      </c>
      <c r="E61" s="316"/>
      <c r="F61" s="316"/>
      <c r="G61" s="3"/>
      <c r="H61" s="3"/>
      <c r="I61" s="3"/>
      <c r="J61" s="3"/>
      <c r="K61" s="3"/>
      <c r="L61" s="3"/>
      <c r="M61" s="316">
        <f>'Акт расч'!M73:P73</f>
        <v>0</v>
      </c>
      <c r="N61" s="316"/>
      <c r="O61" s="316"/>
      <c r="P61" s="316"/>
    </row>
    <row r="62" spans="1:17" ht="21" x14ac:dyDescent="0.35">
      <c r="A62" s="9" t="str">
        <f>'Пр №1'!A65</f>
        <v xml:space="preserve"> «</v>
      </c>
      <c r="B62" s="15">
        <f ca="1">'Пр №1'!B65</f>
        <v>21</v>
      </c>
      <c r="C62" s="10" t="str">
        <f>'Пр №1'!C65</f>
        <v>»</v>
      </c>
      <c r="D62" s="337" t="str">
        <f ca="1">'Пр №1'!D65:E65</f>
        <v>Ноябрь</v>
      </c>
      <c r="E62" s="337"/>
      <c r="F62" s="10">
        <f ca="1">'Пр №1'!F65</f>
        <v>2025</v>
      </c>
      <c r="G62" s="10" t="str">
        <f>'Пр №1'!G65</f>
        <v>г.</v>
      </c>
      <c r="H62" s="9"/>
      <c r="I62" s="15"/>
      <c r="J62" s="5" t="str">
        <f>A62</f>
        <v xml:space="preserve"> «</v>
      </c>
      <c r="K62" s="5">
        <f ca="1">B62</f>
        <v>21</v>
      </c>
      <c r="L62" s="1" t="str">
        <f>C62</f>
        <v>»</v>
      </c>
      <c r="M62" s="296" t="str">
        <f ca="1">D62</f>
        <v>Ноябрь</v>
      </c>
      <c r="N62" s="296"/>
      <c r="O62" s="1">
        <f ca="1">F62</f>
        <v>2025</v>
      </c>
      <c r="P62" s="1" t="str">
        <f>G62</f>
        <v>г.</v>
      </c>
    </row>
    <row r="63" spans="1:17" ht="21" x14ac:dyDescent="0.35">
      <c r="A63" s="292" t="s">
        <v>26</v>
      </c>
      <c r="B63" s="292"/>
      <c r="C63" s="292" t="str">
        <f>'Пр №1'!C66:G66</f>
        <v xml:space="preserve"> +996 (555) 147 688</v>
      </c>
      <c r="D63" s="292"/>
      <c r="E63" s="292"/>
      <c r="F63" s="292"/>
      <c r="G63" s="292"/>
      <c r="H63" s="3"/>
      <c r="I63" s="3"/>
      <c r="J63" s="292" t="s">
        <v>26</v>
      </c>
      <c r="K63" s="292"/>
      <c r="L63" s="335" t="str">
        <f>'Пр №1'!L66:P66</f>
        <v>{{CLIENT_PHONE}}</v>
      </c>
      <c r="M63" s="335"/>
      <c r="N63" s="335"/>
      <c r="O63" s="335"/>
      <c r="P63" s="335"/>
    </row>
  </sheetData>
  <mergeCells count="211">
    <mergeCell ref="B10:D10"/>
    <mergeCell ref="B37:G37"/>
    <mergeCell ref="H37:I37"/>
    <mergeCell ref="B26:G26"/>
    <mergeCell ref="H26:I26"/>
    <mergeCell ref="J26:K26"/>
    <mergeCell ref="L26:M26"/>
    <mergeCell ref="N26:O26"/>
    <mergeCell ref="N23:O23"/>
    <mergeCell ref="B28:G28"/>
    <mergeCell ref="H28:I28"/>
    <mergeCell ref="J28:K28"/>
    <mergeCell ref="L28:M28"/>
    <mergeCell ref="N28:O28"/>
    <mergeCell ref="B30:G30"/>
    <mergeCell ref="H30:I30"/>
    <mergeCell ref="J30:K30"/>
    <mergeCell ref="L30:M30"/>
    <mergeCell ref="N30:O30"/>
    <mergeCell ref="B34:G34"/>
    <mergeCell ref="H34:I34"/>
    <mergeCell ref="J34:K34"/>
    <mergeCell ref="L34:M34"/>
    <mergeCell ref="B20:G20"/>
    <mergeCell ref="H20:I20"/>
    <mergeCell ref="J20:K20"/>
    <mergeCell ref="L20:M20"/>
    <mergeCell ref="N20:O20"/>
    <mergeCell ref="P20:Q20"/>
    <mergeCell ref="P26:Q26"/>
    <mergeCell ref="A14:Q14"/>
    <mergeCell ref="B24:G24"/>
    <mergeCell ref="H24:I24"/>
    <mergeCell ref="J24:K24"/>
    <mergeCell ref="L24:M24"/>
    <mergeCell ref="N24:O24"/>
    <mergeCell ref="P24:Q24"/>
    <mergeCell ref="B25:G25"/>
    <mergeCell ref="H25:I25"/>
    <mergeCell ref="J25:K25"/>
    <mergeCell ref="L25:M25"/>
    <mergeCell ref="N25:O25"/>
    <mergeCell ref="P25:Q25"/>
    <mergeCell ref="B22:G22"/>
    <mergeCell ref="H22:I22"/>
    <mergeCell ref="J22:K22"/>
    <mergeCell ref="L22:M22"/>
    <mergeCell ref="B19:G19"/>
    <mergeCell ref="H19:I19"/>
    <mergeCell ref="J19:K19"/>
    <mergeCell ref="L19:M19"/>
    <mergeCell ref="N19:O19"/>
    <mergeCell ref="P19:Q19"/>
    <mergeCell ref="B18:G18"/>
    <mergeCell ref="H18:I18"/>
    <mergeCell ref="J18:K18"/>
    <mergeCell ref="L18:M18"/>
    <mergeCell ref="N18:O18"/>
    <mergeCell ref="P18:Q18"/>
    <mergeCell ref="A4:Q4"/>
    <mergeCell ref="B6:E6"/>
    <mergeCell ref="L6:M6"/>
    <mergeCell ref="P16:Q16"/>
    <mergeCell ref="B17:G17"/>
    <mergeCell ref="H17:I17"/>
    <mergeCell ref="J17:K17"/>
    <mergeCell ref="L17:M17"/>
    <mergeCell ref="N17:O17"/>
    <mergeCell ref="P17:Q17"/>
    <mergeCell ref="A13:I13"/>
    <mergeCell ref="B16:G16"/>
    <mergeCell ref="H16:I16"/>
    <mergeCell ref="J16:K16"/>
    <mergeCell ref="L16:M16"/>
    <mergeCell ref="N16:O16"/>
    <mergeCell ref="A15:B15"/>
    <mergeCell ref="C15:K15"/>
    <mergeCell ref="A7:F7"/>
    <mergeCell ref="G7:Q7"/>
    <mergeCell ref="A8:Q8"/>
    <mergeCell ref="A9:Q9"/>
    <mergeCell ref="E10:G10"/>
    <mergeCell ref="H10:O10"/>
    <mergeCell ref="P28:Q28"/>
    <mergeCell ref="B27:G27"/>
    <mergeCell ref="H27:I27"/>
    <mergeCell ref="J27:K27"/>
    <mergeCell ref="L27:M27"/>
    <mergeCell ref="N27:O27"/>
    <mergeCell ref="P27:Q27"/>
    <mergeCell ref="B21:G21"/>
    <mergeCell ref="H21:I21"/>
    <mergeCell ref="J21:K21"/>
    <mergeCell ref="L21:M21"/>
    <mergeCell ref="P23:Q23"/>
    <mergeCell ref="N21:O21"/>
    <mergeCell ref="P21:Q21"/>
    <mergeCell ref="N22:O22"/>
    <mergeCell ref="P22:Q22"/>
    <mergeCell ref="B23:G23"/>
    <mergeCell ref="H23:I23"/>
    <mergeCell ref="J23:K23"/>
    <mergeCell ref="L23:M23"/>
    <mergeCell ref="P30:Q30"/>
    <mergeCell ref="B29:G29"/>
    <mergeCell ref="H29:I29"/>
    <mergeCell ref="J29:K29"/>
    <mergeCell ref="L29:M29"/>
    <mergeCell ref="N29:O29"/>
    <mergeCell ref="P29:Q29"/>
    <mergeCell ref="B32:G32"/>
    <mergeCell ref="H32:I32"/>
    <mergeCell ref="J32:K32"/>
    <mergeCell ref="L32:M32"/>
    <mergeCell ref="N32:O32"/>
    <mergeCell ref="P32:Q32"/>
    <mergeCell ref="B31:G31"/>
    <mergeCell ref="H31:I31"/>
    <mergeCell ref="J31:K31"/>
    <mergeCell ref="L31:M31"/>
    <mergeCell ref="N31:O31"/>
    <mergeCell ref="P31:Q31"/>
    <mergeCell ref="J33:K33"/>
    <mergeCell ref="L33:M33"/>
    <mergeCell ref="N33:O33"/>
    <mergeCell ref="P33:Q33"/>
    <mergeCell ref="L36:M36"/>
    <mergeCell ref="N36:O36"/>
    <mergeCell ref="P36:Q36"/>
    <mergeCell ref="B35:G35"/>
    <mergeCell ref="H35:I35"/>
    <mergeCell ref="J35:K35"/>
    <mergeCell ref="L35:M35"/>
    <mergeCell ref="N35:O35"/>
    <mergeCell ref="P35:Q35"/>
    <mergeCell ref="B36:G36"/>
    <mergeCell ref="B47:G47"/>
    <mergeCell ref="J47:K47"/>
    <mergeCell ref="L47:Q47"/>
    <mergeCell ref="B48:G48"/>
    <mergeCell ref="J48:K48"/>
    <mergeCell ref="L48:P48"/>
    <mergeCell ref="A45:Q45"/>
    <mergeCell ref="A46:G46"/>
    <mergeCell ref="J46:P46"/>
    <mergeCell ref="A51:B51"/>
    <mergeCell ref="C51:G51"/>
    <mergeCell ref="J51:K51"/>
    <mergeCell ref="L51:Q51"/>
    <mergeCell ref="A52:G52"/>
    <mergeCell ref="J52:Q52"/>
    <mergeCell ref="A49:B49"/>
    <mergeCell ref="E49:G49"/>
    <mergeCell ref="J49:K49"/>
    <mergeCell ref="N49:O49"/>
    <mergeCell ref="A50:B50"/>
    <mergeCell ref="C50:G50"/>
    <mergeCell ref="J50:K50"/>
    <mergeCell ref="M50:N50"/>
    <mergeCell ref="P50:Q50"/>
    <mergeCell ref="A63:B63"/>
    <mergeCell ref="C63:G63"/>
    <mergeCell ref="J63:K63"/>
    <mergeCell ref="L63:P63"/>
    <mergeCell ref="A58:G58"/>
    <mergeCell ref="J58:P58"/>
    <mergeCell ref="J60:L60"/>
    <mergeCell ref="M60:P60"/>
    <mergeCell ref="D62:E62"/>
    <mergeCell ref="M62:N62"/>
    <mergeCell ref="A60:C60"/>
    <mergeCell ref="D60:F60"/>
    <mergeCell ref="M61:P61"/>
    <mergeCell ref="D61:F61"/>
    <mergeCell ref="B59:C59"/>
    <mergeCell ref="A55:G55"/>
    <mergeCell ref="J55:P55"/>
    <mergeCell ref="B56:G56"/>
    <mergeCell ref="K56:P56"/>
    <mergeCell ref="B57:G57"/>
    <mergeCell ref="K57:P57"/>
    <mergeCell ref="A53:C53"/>
    <mergeCell ref="D53:G53"/>
    <mergeCell ref="J53:L53"/>
    <mergeCell ref="M53:N53"/>
    <mergeCell ref="A54:G54"/>
    <mergeCell ref="J54:P54"/>
    <mergeCell ref="C41:Q41"/>
    <mergeCell ref="A41:B41"/>
    <mergeCell ref="B12:C12"/>
    <mergeCell ref="D12:G12"/>
    <mergeCell ref="B11:F11"/>
    <mergeCell ref="G11:K11"/>
    <mergeCell ref="P38:Q38"/>
    <mergeCell ref="B39:O39"/>
    <mergeCell ref="P39:Q39"/>
    <mergeCell ref="J37:K37"/>
    <mergeCell ref="L37:M37"/>
    <mergeCell ref="N37:O37"/>
    <mergeCell ref="P37:Q37"/>
    <mergeCell ref="B38:G38"/>
    <mergeCell ref="H38:I38"/>
    <mergeCell ref="J38:K38"/>
    <mergeCell ref="L38:M38"/>
    <mergeCell ref="N38:O38"/>
    <mergeCell ref="H36:I36"/>
    <mergeCell ref="J36:K36"/>
    <mergeCell ref="N34:O34"/>
    <mergeCell ref="P34:Q34"/>
    <mergeCell ref="B33:G33"/>
    <mergeCell ref="H33:I33"/>
  </mergeCells>
  <pageMargins left="0.25" right="0.25" top="0.31" bottom="0.35" header="0.3" footer="0.3"/>
  <pageSetup paperSize="9" scale="56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3:Q63"/>
  <sheetViews>
    <sheetView showZeros="0" topLeftCell="A31" zoomScale="80" zoomScaleNormal="80" workbookViewId="0">
      <selection activeCell="H5" sqref="H5"/>
    </sheetView>
  </sheetViews>
  <sheetFormatPr defaultRowHeight="15" x14ac:dyDescent="0.25"/>
  <cols>
    <col min="3" max="3" width="12.85546875" bestFit="1" customWidth="1"/>
    <col min="6" max="6" width="14.140625" customWidth="1"/>
    <col min="10" max="10" width="11.140625" customWidth="1"/>
    <col min="15" max="15" width="11.42578125" customWidth="1"/>
    <col min="17" max="17" width="16" customWidth="1"/>
  </cols>
  <sheetData>
    <row r="3" spans="1:17" ht="2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27" thickBot="1" x14ac:dyDescent="0.45">
      <c r="A4" s="351" t="s">
        <v>275</v>
      </c>
      <c r="B4" s="351"/>
      <c r="C4" s="351"/>
      <c r="D4" s="351"/>
      <c r="E4" s="351"/>
      <c r="F4" s="351"/>
      <c r="G4" s="351"/>
      <c r="H4" s="351"/>
      <c r="I4" s="351"/>
      <c r="J4" s="351"/>
      <c r="K4" s="351"/>
      <c r="L4" s="351"/>
      <c r="M4" s="351"/>
      <c r="N4" s="351"/>
      <c r="O4" s="351"/>
      <c r="P4" s="351"/>
      <c r="Q4" s="351"/>
    </row>
    <row r="5" spans="1:17" ht="21.75" thickBot="1" x14ac:dyDescent="0.4">
      <c r="A5" s="1"/>
      <c r="B5" s="1"/>
      <c r="C5" s="1"/>
      <c r="D5" s="1"/>
      <c r="E5" s="1"/>
      <c r="F5" s="1"/>
      <c r="G5" s="1"/>
      <c r="H5" s="1"/>
      <c r="I5" s="1"/>
      <c r="J5" s="5" t="s">
        <v>12</v>
      </c>
      <c r="K5" s="219">
        <f ca="1">'Пр №1'!J3</f>
        <v>21</v>
      </c>
      <c r="L5" s="220">
        <f ca="1">'Пр №1'!K3</f>
        <v>11</v>
      </c>
      <c r="M5" s="220">
        <f ca="1">'Пр №1'!L3</f>
        <v>2025</v>
      </c>
      <c r="N5" s="226">
        <f ca="1">'Пр №1'!M3</f>
        <v>45982.790570370373</v>
      </c>
      <c r="O5" s="227">
        <v>1</v>
      </c>
    </row>
    <row r="6" spans="1:17" ht="21" x14ac:dyDescent="0.35">
      <c r="A6" s="1"/>
      <c r="B6" s="296" t="str">
        <f>Дог.!B13</f>
        <v xml:space="preserve">г. Бишкек </v>
      </c>
      <c r="C6" s="296"/>
      <c r="D6" s="296"/>
      <c r="E6" s="296"/>
      <c r="F6" s="1"/>
      <c r="G6" s="1"/>
      <c r="H6" s="1"/>
      <c r="I6" s="7" t="str">
        <f>'Пр №1'!I5</f>
        <v xml:space="preserve"> «</v>
      </c>
      <c r="J6" s="5">
        <f ca="1">'Пр №1'!J5</f>
        <v>21</v>
      </c>
      <c r="K6" s="1" t="str">
        <f>'Пр №1'!K5</f>
        <v>»</v>
      </c>
      <c r="L6" s="296" t="str">
        <f ca="1">'Пр №1'!L5</f>
        <v>Ноябрь</v>
      </c>
      <c r="M6" s="296"/>
      <c r="N6" s="1">
        <f ca="1">'Пр №1'!N5</f>
        <v>2025</v>
      </c>
      <c r="O6" s="1" t="str">
        <f>'Пр №1'!O5</f>
        <v>г.</v>
      </c>
    </row>
    <row r="7" spans="1:17" ht="21" x14ac:dyDescent="0.35">
      <c r="A7" s="305" t="str">
        <f>'Акт расч'!A7:E7</f>
        <v>Зинченко Михаил Александрович</v>
      </c>
      <c r="B7" s="305"/>
      <c r="C7" s="305"/>
      <c r="D7" s="305"/>
      <c r="E7" s="305"/>
      <c r="F7" s="305"/>
      <c r="G7" s="355" t="str">
        <f>'Акт расч'!G7:Q7</f>
        <v>22.12.2006 года рождения, паспорт: ID3219844 выдан MKK 218011от 12.02.2023 г.</v>
      </c>
      <c r="H7" s="355"/>
      <c r="I7" s="355"/>
      <c r="J7" s="355"/>
      <c r="K7" s="355"/>
      <c r="L7" s="355"/>
      <c r="M7" s="355"/>
      <c r="N7" s="355"/>
      <c r="O7" s="355"/>
      <c r="P7" s="355"/>
      <c r="Q7" s="355"/>
    </row>
    <row r="8" spans="1:17" ht="21" x14ac:dyDescent="0.35">
      <c r="A8" s="353" t="str">
        <f>'Пр №1'!A7:Q7</f>
        <v>зарегистрированный по адресу город Бишкек, улица Ялтинская 56/1, действующий на основании Свидетельства о государственной</v>
      </c>
      <c r="B8" s="353"/>
      <c r="C8" s="353"/>
      <c r="D8" s="353"/>
      <c r="E8" s="353"/>
      <c r="F8" s="353"/>
      <c r="G8" s="353"/>
      <c r="H8" s="353"/>
      <c r="I8" s="353"/>
      <c r="J8" s="353"/>
      <c r="K8" s="353"/>
      <c r="L8" s="353"/>
      <c r="M8" s="353"/>
      <c r="N8" s="353"/>
      <c r="O8" s="353"/>
      <c r="P8" s="353"/>
      <c r="Q8" s="353"/>
    </row>
    <row r="9" spans="1:17" ht="21" x14ac:dyDescent="0.35">
      <c r="A9" s="353" t="str">
        <f>'Пр №1'!A8:Q8</f>
        <v>регистрации индивидуального предпринимателя по Свердловскому району г. Бишкек № 003-2024-169-5930 от 08.08.2024</v>
      </c>
      <c r="B9" s="353"/>
      <c r="C9" s="353"/>
      <c r="D9" s="353"/>
      <c r="E9" s="353"/>
      <c r="F9" s="353"/>
      <c r="G9" s="353"/>
      <c r="H9" s="353"/>
      <c r="I9" s="353"/>
      <c r="J9" s="353"/>
      <c r="K9" s="353"/>
      <c r="L9" s="353"/>
      <c r="M9" s="353"/>
      <c r="N9" s="353"/>
      <c r="O9" s="353"/>
      <c r="P9" s="353"/>
      <c r="Q9" s="353"/>
    </row>
    <row r="10" spans="1:17" ht="21" x14ac:dyDescent="0.25">
      <c r="A10" s="27" t="s">
        <v>28</v>
      </c>
      <c r="B10" s="555">
        <f>'Пр №1'!C9</f>
        <v>22212200650516</v>
      </c>
      <c r="C10" s="284"/>
      <c r="D10" s="284"/>
      <c r="E10" s="284"/>
      <c r="F10" s="554" t="str">
        <f>A54</f>
        <v>Банковские реквизиты:</v>
      </c>
      <c r="G10" s="554"/>
      <c r="H10" s="554"/>
      <c r="I10" s="554" t="str">
        <f>A55</f>
        <v>ОАО Комерческий банк Кыргызстан</v>
      </c>
      <c r="J10" s="554"/>
      <c r="K10" s="554"/>
      <c r="L10" s="554"/>
      <c r="M10" s="554"/>
      <c r="N10" s="554"/>
      <c r="O10" s="554"/>
      <c r="P10" s="554"/>
      <c r="Q10" s="554"/>
    </row>
    <row r="11" spans="1:17" ht="21" x14ac:dyDescent="0.35">
      <c r="A11" s="17" t="str">
        <f>A56</f>
        <v>р/c:</v>
      </c>
      <c r="B11" s="539" t="str">
        <f>B56</f>
        <v>"1030120300369929"</v>
      </c>
      <c r="C11" s="322"/>
      <c r="D11" s="322"/>
      <c r="E11" s="322"/>
      <c r="F11" s="322"/>
      <c r="G11" s="354" t="str">
        <f>A58</f>
        <v>УГНС 003 Свердловского района</v>
      </c>
      <c r="H11" s="354"/>
      <c r="I11" s="354"/>
      <c r="J11" s="354"/>
      <c r="K11" s="354"/>
      <c r="L11" s="559" t="str">
        <f>'Пр №1'!A60</f>
        <v>БИК:</v>
      </c>
      <c r="M11" s="559"/>
      <c r="N11" s="560">
        <f>'Пр №1'!B60</f>
        <v>103001</v>
      </c>
      <c r="O11" s="560"/>
      <c r="P11" s="560"/>
      <c r="Q11" s="27"/>
    </row>
    <row r="12" spans="1:17" ht="21.75" thickBot="1" x14ac:dyDescent="0.4">
      <c r="A12" s="1"/>
      <c r="B12" s="538"/>
      <c r="C12" s="538"/>
      <c r="D12" s="296"/>
      <c r="E12" s="296"/>
      <c r="F12" s="296"/>
      <c r="G12" s="296"/>
      <c r="H12" s="2"/>
      <c r="I12" s="5"/>
      <c r="J12" s="2"/>
      <c r="K12" s="2"/>
      <c r="L12" s="2"/>
      <c r="M12" s="2"/>
      <c r="N12" s="1"/>
      <c r="O12" s="1"/>
      <c r="P12" s="1"/>
      <c r="Q12" s="18"/>
    </row>
    <row r="13" spans="1:17" ht="21.75" thickBot="1" x14ac:dyDescent="0.4">
      <c r="A13" s="311" t="s">
        <v>51</v>
      </c>
      <c r="B13" s="311"/>
      <c r="C13" s="311"/>
      <c r="D13" s="311"/>
      <c r="E13" s="311"/>
      <c r="F13" s="311"/>
      <c r="G13" s="311"/>
      <c r="H13" s="311"/>
      <c r="I13" s="311"/>
      <c r="J13" s="5" t="s">
        <v>12</v>
      </c>
      <c r="K13" s="219">
        <f ca="1">K5</f>
        <v>21</v>
      </c>
      <c r="L13" s="220">
        <f ca="1">L5</f>
        <v>11</v>
      </c>
      <c r="M13" s="220">
        <f ca="1">M5</f>
        <v>2025</v>
      </c>
      <c r="N13" s="226">
        <f ca="1">N5</f>
        <v>45982.790570370373</v>
      </c>
      <c r="O13" s="227">
        <v>1</v>
      </c>
    </row>
    <row r="14" spans="1:17" ht="21" x14ac:dyDescent="0.35">
      <c r="A14" s="307" t="s">
        <v>324</v>
      </c>
      <c r="B14" s="307"/>
      <c r="C14" s="307"/>
      <c r="D14" s="307"/>
      <c r="E14" s="307"/>
      <c r="F14" s="307"/>
      <c r="G14" s="307"/>
      <c r="H14" s="307"/>
      <c r="I14" s="307"/>
      <c r="J14" s="307"/>
      <c r="K14" s="307"/>
      <c r="L14" s="307"/>
      <c r="M14" s="307"/>
      <c r="N14" s="307"/>
      <c r="O14" s="307"/>
      <c r="P14" s="307"/>
      <c r="Q14" s="307"/>
    </row>
    <row r="15" spans="1:17" ht="21" x14ac:dyDescent="0.35">
      <c r="A15" s="464" t="s">
        <v>67</v>
      </c>
      <c r="B15" s="464"/>
      <c r="C15" s="553" t="str">
        <f>'Акт расч'!A11</f>
        <v>{{CLIENT_FULLNAME}}</v>
      </c>
      <c r="D15" s="553"/>
      <c r="E15" s="553"/>
      <c r="F15" s="553"/>
      <c r="G15" s="553"/>
      <c r="H15" s="553"/>
      <c r="I15" s="553"/>
      <c r="J15" s="553"/>
      <c r="K15" s="553"/>
      <c r="L15" s="30"/>
      <c r="M15" s="30"/>
      <c r="N15" s="30"/>
      <c r="O15" s="30"/>
      <c r="P15" s="30"/>
      <c r="Q15" s="30"/>
    </row>
    <row r="16" spans="1:17" ht="21" x14ac:dyDescent="0.25">
      <c r="A16" s="25" t="s">
        <v>12</v>
      </c>
      <c r="B16" s="377" t="s">
        <v>59</v>
      </c>
      <c r="C16" s="378"/>
      <c r="D16" s="378"/>
      <c r="E16" s="378"/>
      <c r="F16" s="378"/>
      <c r="G16" s="379"/>
      <c r="H16" s="392" t="s">
        <v>77</v>
      </c>
      <c r="I16" s="392"/>
      <c r="J16" s="375" t="s">
        <v>69</v>
      </c>
      <c r="K16" s="375"/>
      <c r="L16" s="375" t="s">
        <v>60</v>
      </c>
      <c r="M16" s="375"/>
      <c r="N16" s="375" t="s">
        <v>61</v>
      </c>
      <c r="O16" s="375"/>
      <c r="P16" s="375" t="s">
        <v>68</v>
      </c>
      <c r="Q16" s="375"/>
    </row>
    <row r="17" spans="1:17" ht="21" x14ac:dyDescent="0.25">
      <c r="A17" s="28">
        <v>1</v>
      </c>
      <c r="B17" s="542" t="str">
        <f>'Счет '!B17</f>
        <v>{{TOOL_NAME}}</v>
      </c>
      <c r="C17" s="543"/>
      <c r="D17" s="543"/>
      <c r="E17" s="543"/>
      <c r="F17" s="543"/>
      <c r="G17" s="544"/>
      <c r="H17" s="445">
        <f>'Счет '!H17:I17</f>
        <v>1</v>
      </c>
      <c r="I17" s="445"/>
      <c r="J17" s="445">
        <f ca="1">'Счет '!J17:K17</f>
        <v>0</v>
      </c>
      <c r="K17" s="445"/>
      <c r="L17" s="445" t="str">
        <f>'Счет '!L17:M17</f>
        <v>Сут</v>
      </c>
      <c r="M17" s="445"/>
      <c r="N17" s="552">
        <f>'Счет '!N17:O17</f>
        <v>1500</v>
      </c>
      <c r="O17" s="552"/>
      <c r="P17" s="540">
        <f ca="1">'Счет '!P17:Q17</f>
        <v>0</v>
      </c>
      <c r="Q17" s="540"/>
    </row>
    <row r="18" spans="1:17" ht="21" x14ac:dyDescent="0.25">
      <c r="A18" s="28">
        <v>2</v>
      </c>
      <c r="B18" s="542">
        <f>'Счет '!B18</f>
        <v>0</v>
      </c>
      <c r="C18" s="543"/>
      <c r="D18" s="543"/>
      <c r="E18" s="543"/>
      <c r="F18" s="543"/>
      <c r="G18" s="544"/>
      <c r="H18" s="445">
        <f>'Счет '!H18:I18</f>
        <v>0</v>
      </c>
      <c r="I18" s="445"/>
      <c r="J18" s="445">
        <f>'Счет '!J18:K18</f>
        <v>0</v>
      </c>
      <c r="K18" s="445"/>
      <c r="L18" s="445">
        <f>'Счет '!L18:M18</f>
        <v>0</v>
      </c>
      <c r="M18" s="445"/>
      <c r="N18" s="552">
        <f>'Счет '!N18:O18</f>
        <v>0</v>
      </c>
      <c r="O18" s="552"/>
      <c r="P18" s="540">
        <f>'Счет '!P18:Q18</f>
        <v>0</v>
      </c>
      <c r="Q18" s="540"/>
    </row>
    <row r="19" spans="1:17" ht="21" x14ac:dyDescent="0.25">
      <c r="A19" s="28">
        <v>3</v>
      </c>
      <c r="B19" s="542">
        <f>'Счет '!B19</f>
        <v>0</v>
      </c>
      <c r="C19" s="543"/>
      <c r="D19" s="543"/>
      <c r="E19" s="543"/>
      <c r="F19" s="543"/>
      <c r="G19" s="544"/>
      <c r="H19" s="445">
        <f>'Счет '!H19:I19</f>
        <v>0</v>
      </c>
      <c r="I19" s="445"/>
      <c r="J19" s="445">
        <f>'Счет '!J19:K19</f>
        <v>0</v>
      </c>
      <c r="K19" s="445"/>
      <c r="L19" s="445">
        <f>'Счет '!L19:M19</f>
        <v>0</v>
      </c>
      <c r="M19" s="445"/>
      <c r="N19" s="552">
        <f>'Счет '!N19:O19</f>
        <v>0</v>
      </c>
      <c r="O19" s="552"/>
      <c r="P19" s="540">
        <f>'Счет '!P19:Q19</f>
        <v>0</v>
      </c>
      <c r="Q19" s="540"/>
    </row>
    <row r="20" spans="1:17" ht="21" x14ac:dyDescent="0.25">
      <c r="A20" s="28">
        <v>4</v>
      </c>
      <c r="B20" s="542">
        <f>'Счет '!B20</f>
        <v>0</v>
      </c>
      <c r="C20" s="543"/>
      <c r="D20" s="543"/>
      <c r="E20" s="543"/>
      <c r="F20" s="543"/>
      <c r="G20" s="544"/>
      <c r="H20" s="445">
        <f>'Счет '!H20:I20</f>
        <v>0</v>
      </c>
      <c r="I20" s="445"/>
      <c r="J20" s="445">
        <f>'Счет '!J20:K20</f>
        <v>0</v>
      </c>
      <c r="K20" s="445"/>
      <c r="L20" s="445">
        <f>'Счет '!L20:M20</f>
        <v>0</v>
      </c>
      <c r="M20" s="445"/>
      <c r="N20" s="552">
        <f>'Счет '!N20:O20</f>
        <v>0</v>
      </c>
      <c r="O20" s="552"/>
      <c r="P20" s="540">
        <f>'Счет '!P20:Q20</f>
        <v>0</v>
      </c>
      <c r="Q20" s="540"/>
    </row>
    <row r="21" spans="1:17" ht="21" x14ac:dyDescent="0.25">
      <c r="A21" s="28">
        <v>5</v>
      </c>
      <c r="B21" s="542">
        <f>'Счет '!B21</f>
        <v>0</v>
      </c>
      <c r="C21" s="543"/>
      <c r="D21" s="543"/>
      <c r="E21" s="543"/>
      <c r="F21" s="543"/>
      <c r="G21" s="544"/>
      <c r="H21" s="445">
        <f>'Счет '!H21:I21</f>
        <v>0</v>
      </c>
      <c r="I21" s="445"/>
      <c r="J21" s="445">
        <f>'Счет '!J21:K21</f>
        <v>0</v>
      </c>
      <c r="K21" s="445"/>
      <c r="L21" s="445">
        <f>'Счет '!L21:M21</f>
        <v>0</v>
      </c>
      <c r="M21" s="445"/>
      <c r="N21" s="552">
        <f>'Счет '!N21:O21</f>
        <v>0</v>
      </c>
      <c r="O21" s="552"/>
      <c r="P21" s="540">
        <f>'Счет '!P21:Q21</f>
        <v>0</v>
      </c>
      <c r="Q21" s="540"/>
    </row>
    <row r="22" spans="1:17" ht="21" x14ac:dyDescent="0.25">
      <c r="A22" s="28">
        <v>6</v>
      </c>
      <c r="B22" s="542">
        <f>'Счет '!B22</f>
        <v>0</v>
      </c>
      <c r="C22" s="543"/>
      <c r="D22" s="543"/>
      <c r="E22" s="543"/>
      <c r="F22" s="543"/>
      <c r="G22" s="544"/>
      <c r="H22" s="445">
        <f>'Счет '!H22:I22</f>
        <v>0</v>
      </c>
      <c r="I22" s="445"/>
      <c r="J22" s="445">
        <f>'Счет '!J22:K22</f>
        <v>0</v>
      </c>
      <c r="K22" s="445"/>
      <c r="L22" s="445">
        <f>'Счет '!L22:M22</f>
        <v>0</v>
      </c>
      <c r="M22" s="445"/>
      <c r="N22" s="552">
        <f>'Счет '!N22:O22</f>
        <v>0</v>
      </c>
      <c r="O22" s="552"/>
      <c r="P22" s="540">
        <f>'Счет '!P22:Q22</f>
        <v>0</v>
      </c>
      <c r="Q22" s="540"/>
    </row>
    <row r="23" spans="1:17" ht="21" x14ac:dyDescent="0.25">
      <c r="A23" s="28">
        <v>7</v>
      </c>
      <c r="B23" s="542">
        <f>'Счет '!B23</f>
        <v>0</v>
      </c>
      <c r="C23" s="543"/>
      <c r="D23" s="543"/>
      <c r="E23" s="543"/>
      <c r="F23" s="543"/>
      <c r="G23" s="544"/>
      <c r="H23" s="445">
        <f>'Счет '!H23:I23</f>
        <v>0</v>
      </c>
      <c r="I23" s="445"/>
      <c r="J23" s="445">
        <f>'Счет '!J23:K23</f>
        <v>0</v>
      </c>
      <c r="K23" s="445"/>
      <c r="L23" s="445">
        <f>'Счет '!L23:M23</f>
        <v>0</v>
      </c>
      <c r="M23" s="445"/>
      <c r="N23" s="552">
        <f>'Счет '!N23:O23</f>
        <v>0</v>
      </c>
      <c r="O23" s="552"/>
      <c r="P23" s="540">
        <f>'Счет '!P23:Q23</f>
        <v>0</v>
      </c>
      <c r="Q23" s="540"/>
    </row>
    <row r="24" spans="1:17" ht="21" x14ac:dyDescent="0.25">
      <c r="A24" s="28">
        <v>8</v>
      </c>
      <c r="B24" s="542">
        <f>'Счет '!B24</f>
        <v>0</v>
      </c>
      <c r="C24" s="543"/>
      <c r="D24" s="543"/>
      <c r="E24" s="543"/>
      <c r="F24" s="543"/>
      <c r="G24" s="544"/>
      <c r="H24" s="445">
        <f>'Счет '!H24:I24</f>
        <v>0</v>
      </c>
      <c r="I24" s="445"/>
      <c r="J24" s="445">
        <f>'Счет '!J24:K24</f>
        <v>0</v>
      </c>
      <c r="K24" s="445"/>
      <c r="L24" s="445">
        <f>'Счет '!L24:M24</f>
        <v>0</v>
      </c>
      <c r="M24" s="445"/>
      <c r="N24" s="552">
        <f>'Счет '!N24:O24</f>
        <v>0</v>
      </c>
      <c r="O24" s="552"/>
      <c r="P24" s="540">
        <f>'Счет '!P24:Q24</f>
        <v>0</v>
      </c>
      <c r="Q24" s="540"/>
    </row>
    <row r="25" spans="1:17" ht="21" x14ac:dyDescent="0.25">
      <c r="A25" s="28">
        <v>9</v>
      </c>
      <c r="B25" s="542">
        <f>'Счет '!B25</f>
        <v>0</v>
      </c>
      <c r="C25" s="543"/>
      <c r="D25" s="543"/>
      <c r="E25" s="543"/>
      <c r="F25" s="543"/>
      <c r="G25" s="544"/>
      <c r="H25" s="445">
        <f>'Счет '!H25:I25</f>
        <v>0</v>
      </c>
      <c r="I25" s="445"/>
      <c r="J25" s="445">
        <f>'Счет '!J25:K25</f>
        <v>0</v>
      </c>
      <c r="K25" s="445"/>
      <c r="L25" s="445">
        <f>'Счет '!L25:M25</f>
        <v>0</v>
      </c>
      <c r="M25" s="445"/>
      <c r="N25" s="552">
        <f>'Счет '!N25:O25</f>
        <v>0</v>
      </c>
      <c r="O25" s="552"/>
      <c r="P25" s="540">
        <f>'Счет '!P25:Q25</f>
        <v>0</v>
      </c>
      <c r="Q25" s="540"/>
    </row>
    <row r="26" spans="1:17" ht="21" x14ac:dyDescent="0.25">
      <c r="A26" s="28">
        <v>10</v>
      </c>
      <c r="B26" s="542">
        <f>'Счет '!B26</f>
        <v>0</v>
      </c>
      <c r="C26" s="543"/>
      <c r="D26" s="543"/>
      <c r="E26" s="543"/>
      <c r="F26" s="543"/>
      <c r="G26" s="544"/>
      <c r="H26" s="445">
        <f>'Счет '!H26:I26</f>
        <v>0</v>
      </c>
      <c r="I26" s="445"/>
      <c r="J26" s="445">
        <f>'Счет '!J26:K26</f>
        <v>0</v>
      </c>
      <c r="K26" s="445"/>
      <c r="L26" s="445">
        <f>'Счет '!L26:M26</f>
        <v>0</v>
      </c>
      <c r="M26" s="445"/>
      <c r="N26" s="552">
        <f>'Счет '!N26:O26</f>
        <v>0</v>
      </c>
      <c r="O26" s="552"/>
      <c r="P26" s="540">
        <f>'Счет '!P26:Q26</f>
        <v>0</v>
      </c>
      <c r="Q26" s="540"/>
    </row>
    <row r="27" spans="1:17" ht="21" x14ac:dyDescent="0.25">
      <c r="A27" s="28">
        <v>11</v>
      </c>
      <c r="B27" s="542">
        <f>'Счет '!B27</f>
        <v>0</v>
      </c>
      <c r="C27" s="543"/>
      <c r="D27" s="543"/>
      <c r="E27" s="543"/>
      <c r="F27" s="543"/>
      <c r="G27" s="544"/>
      <c r="H27" s="445">
        <f>'Счет '!H27:I27</f>
        <v>0</v>
      </c>
      <c r="I27" s="445"/>
      <c r="J27" s="445">
        <f>'Счет '!J27:K27</f>
        <v>0</v>
      </c>
      <c r="K27" s="445"/>
      <c r="L27" s="445">
        <f>'Счет '!L27:M27</f>
        <v>0</v>
      </c>
      <c r="M27" s="445"/>
      <c r="N27" s="552">
        <f>'Счет '!N27:O27</f>
        <v>0</v>
      </c>
      <c r="O27" s="552"/>
      <c r="P27" s="540">
        <f>'Счет '!P27:Q27</f>
        <v>0</v>
      </c>
      <c r="Q27" s="540"/>
    </row>
    <row r="28" spans="1:17" ht="21" x14ac:dyDescent="0.25">
      <c r="A28" s="28">
        <v>12</v>
      </c>
      <c r="B28" s="542">
        <f>'Счет '!B28</f>
        <v>0</v>
      </c>
      <c r="C28" s="543"/>
      <c r="D28" s="543"/>
      <c r="E28" s="543"/>
      <c r="F28" s="543"/>
      <c r="G28" s="544"/>
      <c r="H28" s="445">
        <f>'Счет '!H28:I28</f>
        <v>0</v>
      </c>
      <c r="I28" s="445"/>
      <c r="J28" s="445">
        <f>'Счет '!J28:K28</f>
        <v>0</v>
      </c>
      <c r="K28" s="445"/>
      <c r="L28" s="445">
        <f>'Счет '!L28:M28</f>
        <v>0</v>
      </c>
      <c r="M28" s="445"/>
      <c r="N28" s="552">
        <f>'Счет '!N28:O28</f>
        <v>0</v>
      </c>
      <c r="O28" s="552"/>
      <c r="P28" s="540">
        <f>'Счет '!P28:Q28</f>
        <v>0</v>
      </c>
      <c r="Q28" s="540"/>
    </row>
    <row r="29" spans="1:17" ht="21" x14ac:dyDescent="0.25">
      <c r="A29" s="28">
        <v>13</v>
      </c>
      <c r="B29" s="542">
        <f>'Счет '!B29</f>
        <v>0</v>
      </c>
      <c r="C29" s="543"/>
      <c r="D29" s="543"/>
      <c r="E29" s="543"/>
      <c r="F29" s="543"/>
      <c r="G29" s="544"/>
      <c r="H29" s="445">
        <f>'Счет '!H29:I29</f>
        <v>0</v>
      </c>
      <c r="I29" s="445"/>
      <c r="J29" s="445">
        <f>'Счет '!J29:K29</f>
        <v>0</v>
      </c>
      <c r="K29" s="445"/>
      <c r="L29" s="445">
        <f>'Счет '!L29:M29</f>
        <v>0</v>
      </c>
      <c r="M29" s="445"/>
      <c r="N29" s="552">
        <f>'Счет '!N29:O29</f>
        <v>0</v>
      </c>
      <c r="O29" s="552"/>
      <c r="P29" s="540">
        <f>'Счет '!P29:Q29</f>
        <v>0</v>
      </c>
      <c r="Q29" s="540"/>
    </row>
    <row r="30" spans="1:17" ht="21" x14ac:dyDescent="0.25">
      <c r="A30" s="28">
        <v>14</v>
      </c>
      <c r="B30" s="542">
        <f>'Счет '!B30</f>
        <v>0</v>
      </c>
      <c r="C30" s="543"/>
      <c r="D30" s="543"/>
      <c r="E30" s="543"/>
      <c r="F30" s="543"/>
      <c r="G30" s="544"/>
      <c r="H30" s="445">
        <f>'Счет '!H30:I30</f>
        <v>0</v>
      </c>
      <c r="I30" s="445"/>
      <c r="J30" s="445">
        <f>'Счет '!J30:K30</f>
        <v>0</v>
      </c>
      <c r="K30" s="445"/>
      <c r="L30" s="445">
        <f>'Счет '!L30:M30</f>
        <v>0</v>
      </c>
      <c r="M30" s="445"/>
      <c r="N30" s="552">
        <f>'Счет '!N30:O30</f>
        <v>0</v>
      </c>
      <c r="O30" s="552"/>
      <c r="P30" s="540">
        <f>'Счет '!P30:Q30</f>
        <v>0</v>
      </c>
      <c r="Q30" s="540"/>
    </row>
    <row r="31" spans="1:17" ht="21" x14ac:dyDescent="0.25">
      <c r="A31" s="28">
        <v>15</v>
      </c>
      <c r="B31" s="542">
        <f>'Счет '!B31</f>
        <v>0</v>
      </c>
      <c r="C31" s="543"/>
      <c r="D31" s="543"/>
      <c r="E31" s="543"/>
      <c r="F31" s="543"/>
      <c r="G31" s="544"/>
      <c r="H31" s="445">
        <f>'Счет '!H31:I31</f>
        <v>0</v>
      </c>
      <c r="I31" s="445"/>
      <c r="J31" s="445">
        <f>'Счет '!J31:K31</f>
        <v>0</v>
      </c>
      <c r="K31" s="445"/>
      <c r="L31" s="445">
        <f>'Счет '!L31:M31</f>
        <v>0</v>
      </c>
      <c r="M31" s="445"/>
      <c r="N31" s="552">
        <f>'Счет '!N31:O31</f>
        <v>0</v>
      </c>
      <c r="O31" s="552"/>
      <c r="P31" s="540">
        <f>'Счет '!P31:Q31</f>
        <v>0</v>
      </c>
      <c r="Q31" s="540"/>
    </row>
    <row r="32" spans="1:17" ht="23.25" x14ac:dyDescent="0.35">
      <c r="A32" s="28">
        <v>16</v>
      </c>
      <c r="B32" s="542"/>
      <c r="C32" s="543"/>
      <c r="D32" s="543"/>
      <c r="E32" s="543"/>
      <c r="F32" s="543"/>
      <c r="G32" s="544"/>
      <c r="H32" s="445"/>
      <c r="I32" s="445"/>
      <c r="J32" s="445"/>
      <c r="K32" s="445"/>
      <c r="L32" s="445"/>
      <c r="M32" s="445"/>
      <c r="N32" s="548" t="s">
        <v>62</v>
      </c>
      <c r="O32" s="549"/>
      <c r="P32" s="405">
        <f ca="1">SUM(P17:Q31)</f>
        <v>0</v>
      </c>
      <c r="Q32" s="405"/>
    </row>
    <row r="33" spans="1:17" ht="23.25" x14ac:dyDescent="0.35">
      <c r="A33" s="28">
        <v>17</v>
      </c>
      <c r="B33" s="542"/>
      <c r="C33" s="543"/>
      <c r="D33" s="543"/>
      <c r="E33" s="543"/>
      <c r="F33" s="543"/>
      <c r="G33" s="544"/>
      <c r="H33" s="445"/>
      <c r="I33" s="445"/>
      <c r="J33" s="445"/>
      <c r="K33" s="445"/>
      <c r="L33" s="445"/>
      <c r="M33" s="445"/>
      <c r="N33" s="548"/>
      <c r="O33" s="549"/>
      <c r="P33" s="540"/>
      <c r="Q33" s="540"/>
    </row>
    <row r="34" spans="1:17" ht="23.25" x14ac:dyDescent="0.35">
      <c r="A34" s="28">
        <v>18</v>
      </c>
      <c r="B34" s="542"/>
      <c r="C34" s="543"/>
      <c r="D34" s="543"/>
      <c r="E34" s="543"/>
      <c r="F34" s="543"/>
      <c r="G34" s="544"/>
      <c r="H34" s="445"/>
      <c r="I34" s="445"/>
      <c r="J34" s="445"/>
      <c r="K34" s="445"/>
      <c r="L34" s="445"/>
      <c r="M34" s="445"/>
      <c r="N34" s="545"/>
      <c r="O34" s="546"/>
      <c r="P34" s="404"/>
      <c r="Q34" s="404"/>
    </row>
    <row r="35" spans="1:17" ht="23.25" x14ac:dyDescent="0.35">
      <c r="A35" s="28">
        <v>19</v>
      </c>
      <c r="B35" s="542"/>
      <c r="C35" s="543"/>
      <c r="D35" s="543"/>
      <c r="E35" s="543"/>
      <c r="F35" s="543"/>
      <c r="G35" s="544"/>
      <c r="H35" s="445"/>
      <c r="I35" s="445"/>
      <c r="J35" s="445"/>
      <c r="K35" s="445"/>
      <c r="L35" s="445"/>
      <c r="M35" s="445"/>
      <c r="N35" s="550"/>
      <c r="O35" s="551"/>
      <c r="P35" s="405"/>
      <c r="Q35" s="405"/>
    </row>
    <row r="36" spans="1:17" ht="21" x14ac:dyDescent="0.25">
      <c r="A36" s="28">
        <v>20</v>
      </c>
      <c r="B36" s="542"/>
      <c r="C36" s="543"/>
      <c r="D36" s="543"/>
      <c r="E36" s="543"/>
      <c r="F36" s="543"/>
      <c r="G36" s="544"/>
      <c r="H36" s="445"/>
      <c r="I36" s="445"/>
      <c r="J36" s="445"/>
      <c r="K36" s="445"/>
      <c r="L36" s="445"/>
      <c r="M36" s="445"/>
      <c r="N36" s="541"/>
      <c r="O36" s="541"/>
      <c r="P36" s="404"/>
      <c r="Q36" s="404"/>
    </row>
    <row r="37" spans="1:17" ht="21" x14ac:dyDescent="0.25">
      <c r="A37" s="28">
        <v>21</v>
      </c>
      <c r="B37" s="557"/>
      <c r="C37" s="561"/>
      <c r="D37" s="561"/>
      <c r="E37" s="561"/>
      <c r="F37" s="561"/>
      <c r="G37" s="561"/>
      <c r="H37" s="556"/>
      <c r="I37" s="556"/>
      <c r="J37" s="541"/>
      <c r="K37" s="541"/>
      <c r="L37" s="541"/>
      <c r="M37" s="541"/>
      <c r="N37" s="404"/>
      <c r="O37" s="541"/>
      <c r="P37" s="404"/>
      <c r="Q37" s="404"/>
    </row>
    <row r="38" spans="1:17" ht="21" x14ac:dyDescent="0.25">
      <c r="A38" s="28">
        <v>22</v>
      </c>
      <c r="B38" s="542"/>
      <c r="C38" s="543"/>
      <c r="D38" s="543"/>
      <c r="E38" s="543"/>
      <c r="F38" s="543"/>
      <c r="G38" s="544"/>
      <c r="H38" s="445"/>
      <c r="I38" s="445"/>
      <c r="J38" s="445"/>
      <c r="K38" s="445"/>
      <c r="L38" s="445"/>
      <c r="M38" s="445"/>
      <c r="N38" s="445"/>
      <c r="O38" s="445"/>
      <c r="P38" s="540"/>
      <c r="Q38" s="540"/>
    </row>
    <row r="39" spans="1:17" ht="21" x14ac:dyDescent="0.25">
      <c r="A39" s="28">
        <v>23</v>
      </c>
      <c r="B39" s="383" t="s">
        <v>136</v>
      </c>
      <c r="C39" s="384"/>
      <c r="D39" s="384"/>
      <c r="E39" s="384"/>
      <c r="F39" s="384"/>
      <c r="G39" s="384"/>
      <c r="H39" s="384"/>
      <c r="I39" s="384"/>
      <c r="J39" s="384"/>
      <c r="K39" s="384"/>
      <c r="L39" s="384"/>
      <c r="M39" s="384"/>
      <c r="N39" s="384"/>
      <c r="O39" s="385"/>
      <c r="P39" s="405">
        <f ca="1">P32</f>
        <v>0</v>
      </c>
      <c r="Q39" s="405"/>
    </row>
    <row r="40" spans="1:17" ht="21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ht="21" x14ac:dyDescent="0.35">
      <c r="A41" s="296" t="s">
        <v>65</v>
      </c>
      <c r="B41" s="296"/>
      <c r="C41" s="342" t="e">
        <f ca="1">[2]!ЧислоПрописьюВалюта(P39,2)</f>
        <v>#NAME?</v>
      </c>
      <c r="D41" s="342"/>
      <c r="E41" s="342"/>
      <c r="F41" s="342"/>
      <c r="G41" s="342"/>
      <c r="H41" s="342"/>
      <c r="I41" s="342"/>
      <c r="J41" s="342"/>
      <c r="K41" s="342"/>
      <c r="L41" s="342"/>
      <c r="M41" s="342"/>
      <c r="N41" s="342"/>
      <c r="O41" s="342"/>
      <c r="P41" s="342"/>
      <c r="Q41" s="342"/>
    </row>
    <row r="42" spans="1:17" ht="21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2"/>
      <c r="P42" s="2"/>
      <c r="Q42" s="3"/>
    </row>
    <row r="43" spans="1:17" ht="21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 ht="21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 ht="21" x14ac:dyDescent="0.35">
      <c r="A45" s="296" t="s">
        <v>6</v>
      </c>
      <c r="B45" s="296"/>
      <c r="C45" s="296"/>
      <c r="D45" s="296"/>
      <c r="E45" s="296"/>
      <c r="F45" s="296"/>
      <c r="G45" s="296"/>
      <c r="H45" s="296"/>
      <c r="I45" s="296"/>
      <c r="J45" s="296"/>
      <c r="K45" s="296"/>
      <c r="L45" s="296"/>
      <c r="M45" s="296"/>
      <c r="N45" s="296"/>
      <c r="O45" s="296"/>
      <c r="P45" s="296"/>
      <c r="Q45" s="296"/>
    </row>
    <row r="46" spans="1:17" ht="21" x14ac:dyDescent="0.35">
      <c r="A46" s="296" t="s">
        <v>45</v>
      </c>
      <c r="B46" s="296"/>
      <c r="C46" s="296"/>
      <c r="D46" s="296"/>
      <c r="E46" s="296"/>
      <c r="F46" s="296"/>
      <c r="G46" s="296"/>
      <c r="H46" s="1"/>
      <c r="I46" s="1"/>
      <c r="J46" s="296" t="s">
        <v>44</v>
      </c>
      <c r="K46" s="296"/>
      <c r="L46" s="296"/>
      <c r="M46" s="296"/>
      <c r="N46" s="296"/>
      <c r="O46" s="296"/>
      <c r="P46" s="296"/>
    </row>
    <row r="47" spans="1:17" ht="21" x14ac:dyDescent="0.35">
      <c r="A47" s="3" t="s">
        <v>10</v>
      </c>
      <c r="B47" s="307" t="str">
        <f>'Пр №1'!B50:G50</f>
        <v>Зинченко Михаил Александрович</v>
      </c>
      <c r="C47" s="307"/>
      <c r="D47" s="307"/>
      <c r="E47" s="307"/>
      <c r="F47" s="307"/>
      <c r="G47" s="307"/>
      <c r="H47" s="3"/>
      <c r="I47" s="3"/>
      <c r="J47" s="307" t="str">
        <f>'Акт расч'!J59:K59</f>
        <v>Ф.И.О.:</v>
      </c>
      <c r="K47" s="307"/>
      <c r="L47" s="307" t="str">
        <f>'Пр №1'!L50:Q50</f>
        <v>{{CLIENT_FULLNAME}}</v>
      </c>
      <c r="M47" s="307"/>
      <c r="N47" s="307"/>
      <c r="O47" s="307"/>
      <c r="P47" s="307"/>
      <c r="Q47" s="307"/>
    </row>
    <row r="48" spans="1:17" ht="21" x14ac:dyDescent="0.35">
      <c r="A48" s="3" t="s">
        <v>28</v>
      </c>
      <c r="B48" s="323">
        <f>'Пр №1'!B51:G51</f>
        <v>22212200650516</v>
      </c>
      <c r="C48" s="323"/>
      <c r="D48" s="323"/>
      <c r="E48" s="323"/>
      <c r="F48" s="323"/>
      <c r="G48" s="323"/>
      <c r="H48" s="3"/>
      <c r="I48" s="12"/>
      <c r="J48" s="323" t="str">
        <f>'Акт расч'!J60:K60</f>
        <v>ПИН:</v>
      </c>
      <c r="K48" s="323"/>
      <c r="L48" s="323" t="str">
        <f>'Пр №1'!L51:P51</f>
        <v>ХХХХ</v>
      </c>
      <c r="M48" s="323"/>
      <c r="N48" s="323"/>
      <c r="O48" s="323"/>
      <c r="P48" s="323"/>
      <c r="Q48" s="23"/>
    </row>
    <row r="49" spans="1:17" ht="21" x14ac:dyDescent="0.35">
      <c r="A49" s="307" t="s">
        <v>29</v>
      </c>
      <c r="B49" s="307"/>
      <c r="C49" s="13" t="str">
        <f>'Пр №1'!C52</f>
        <v>ID</v>
      </c>
      <c r="D49" s="13" t="s">
        <v>12</v>
      </c>
      <c r="E49" s="307">
        <f>'Пр №1'!E52:G52</f>
        <v>1706490</v>
      </c>
      <c r="F49" s="307"/>
      <c r="G49" s="307"/>
      <c r="H49" s="3"/>
      <c r="I49" s="3"/>
      <c r="J49" s="307" t="str">
        <f>'Акт расч'!J61:K61</f>
        <v>Паспорт:</v>
      </c>
      <c r="K49" s="307"/>
      <c r="L49" s="13" t="str">
        <f>'Пр №1'!L52</f>
        <v>ХХХ</v>
      </c>
      <c r="M49" s="13" t="s">
        <v>12</v>
      </c>
      <c r="N49" s="307" t="str">
        <f>'Пр №1'!N52:O52</f>
        <v>ХХХХХ</v>
      </c>
      <c r="O49" s="307"/>
      <c r="P49" s="3"/>
    </row>
    <row r="50" spans="1:17" ht="21" x14ac:dyDescent="0.35">
      <c r="A50" s="307" t="s">
        <v>30</v>
      </c>
      <c r="B50" s="307"/>
      <c r="C50" s="307" t="str">
        <f>'Пр №1'!C53:G53</f>
        <v>МКК 211041 от 05.06.2020</v>
      </c>
      <c r="D50" s="307"/>
      <c r="E50" s="307"/>
      <c r="F50" s="307"/>
      <c r="G50" s="307"/>
      <c r="H50" s="16"/>
      <c r="I50" s="3"/>
      <c r="J50" s="307" t="str">
        <f>'Акт расч'!J62:K62</f>
        <v>Выдан:</v>
      </c>
      <c r="K50" s="307"/>
      <c r="L50" s="3" t="str">
        <f>'Пр №1'!L53</f>
        <v>МКК</v>
      </c>
      <c r="M50" s="292" t="str">
        <f>'Пр №1'!M53</f>
        <v>ХХХХ</v>
      </c>
      <c r="N50" s="292"/>
      <c r="O50" s="13" t="str">
        <f>'Пр №1'!N53</f>
        <v>от</v>
      </c>
      <c r="P50" s="547" t="str">
        <f>'Пр №1'!O53</f>
        <v>ХХХХ</v>
      </c>
      <c r="Q50" s="307"/>
    </row>
    <row r="51" spans="1:17" ht="21" x14ac:dyDescent="0.35">
      <c r="A51" s="307" t="s">
        <v>31</v>
      </c>
      <c r="B51" s="307"/>
      <c r="C51" s="307" t="str">
        <f>'Пр №1'!C54:G54</f>
        <v>г. Бишкек</v>
      </c>
      <c r="D51" s="307"/>
      <c r="E51" s="307"/>
      <c r="F51" s="307"/>
      <c r="G51" s="307"/>
      <c r="H51" s="11"/>
      <c r="I51" s="3"/>
      <c r="J51" s="307" t="str">
        <f>'Акт расч'!J63:K63</f>
        <v>Адрес:</v>
      </c>
      <c r="K51" s="307"/>
      <c r="L51" s="307" t="str">
        <f>'Пр №1'!L54:Q54</f>
        <v>Чуйская область г. Бишкек</v>
      </c>
      <c r="M51" s="307"/>
      <c r="N51" s="307"/>
      <c r="O51" s="307"/>
      <c r="P51" s="307"/>
      <c r="Q51" s="307"/>
    </row>
    <row r="52" spans="1:17" ht="21" x14ac:dyDescent="0.35">
      <c r="A52" s="307" t="str">
        <f>'Пр №1'!A55:G55</f>
        <v>ул. Ялтинская д. №  56</v>
      </c>
      <c r="B52" s="307"/>
      <c r="C52" s="307"/>
      <c r="D52" s="307"/>
      <c r="E52" s="307"/>
      <c r="F52" s="307"/>
      <c r="G52" s="307"/>
      <c r="H52" s="3"/>
      <c r="I52" s="3"/>
      <c r="J52" s="307" t="str">
        <f>'Пр №1'!J55:P55</f>
        <v>ул. ХХХХХ</v>
      </c>
      <c r="K52" s="307"/>
      <c r="L52" s="307"/>
      <c r="M52" s="307"/>
      <c r="N52" s="307"/>
      <c r="O52" s="307"/>
      <c r="P52" s="307"/>
      <c r="Q52" s="307"/>
    </row>
    <row r="53" spans="1:17" ht="21" x14ac:dyDescent="0.35">
      <c r="A53" s="307" t="s">
        <v>32</v>
      </c>
      <c r="B53" s="307"/>
      <c r="C53" s="307"/>
      <c r="D53" s="307">
        <f>'Пр №1'!D56:G56</f>
        <v>720051</v>
      </c>
      <c r="E53" s="307"/>
      <c r="F53" s="307"/>
      <c r="G53" s="307"/>
      <c r="H53" s="11"/>
      <c r="I53" s="3"/>
      <c r="J53" s="307" t="str">
        <f>'Акт расч'!J65:L65</f>
        <v>Почтовый индекс:</v>
      </c>
      <c r="K53" s="307"/>
      <c r="L53" s="307"/>
      <c r="M53" s="307">
        <f>'Пр №1'!M56:N56</f>
        <v>0</v>
      </c>
      <c r="N53" s="307"/>
      <c r="O53" s="3"/>
      <c r="P53" s="3"/>
    </row>
    <row r="54" spans="1:17" ht="21" x14ac:dyDescent="0.35">
      <c r="A54" s="307" t="s">
        <v>7</v>
      </c>
      <c r="B54" s="307"/>
      <c r="C54" s="307"/>
      <c r="D54" s="307"/>
      <c r="E54" s="307"/>
      <c r="F54" s="307"/>
      <c r="G54" s="307"/>
      <c r="H54" s="3"/>
      <c r="I54" s="3"/>
      <c r="J54" s="307" t="str">
        <f>'Акт расч'!J66:P66</f>
        <v>Банковские реквизиты:</v>
      </c>
      <c r="K54" s="307"/>
      <c r="L54" s="307"/>
      <c r="M54" s="307"/>
      <c r="N54" s="307"/>
      <c r="O54" s="307"/>
      <c r="P54" s="307"/>
    </row>
    <row r="55" spans="1:17" ht="21" x14ac:dyDescent="0.35">
      <c r="A55" s="307" t="str">
        <f>'Пр №1'!A58:G58</f>
        <v>ОАО Комерческий банк Кыргызстан</v>
      </c>
      <c r="B55" s="307"/>
      <c r="C55" s="307"/>
      <c r="D55" s="307"/>
      <c r="E55" s="307"/>
      <c r="F55" s="307"/>
      <c r="G55" s="307"/>
      <c r="H55" s="3"/>
      <c r="I55" s="3"/>
      <c r="J55" s="307">
        <f>'Пр №1'!J58:P58</f>
        <v>0</v>
      </c>
      <c r="K55" s="307"/>
      <c r="L55" s="307"/>
      <c r="M55" s="307"/>
      <c r="N55" s="307"/>
      <c r="O55" s="307"/>
      <c r="P55" s="307"/>
    </row>
    <row r="56" spans="1:17" ht="21" x14ac:dyDescent="0.35">
      <c r="A56" s="3" t="s">
        <v>49</v>
      </c>
      <c r="B56" s="323" t="str">
        <f>'Пр №1'!B59:G59</f>
        <v>"1030120300369929"</v>
      </c>
      <c r="C56" s="323"/>
      <c r="D56" s="323"/>
      <c r="E56" s="323"/>
      <c r="F56" s="323"/>
      <c r="G56" s="323"/>
      <c r="H56" s="3"/>
      <c r="I56" s="3"/>
      <c r="J56" s="3" t="str">
        <f>'Акт расч'!J68</f>
        <v>р/c:</v>
      </c>
      <c r="K56" s="323">
        <f>'Пр №1'!K59:P59</f>
        <v>0</v>
      </c>
      <c r="L56" s="323"/>
      <c r="M56" s="323"/>
      <c r="N56" s="323"/>
      <c r="O56" s="323"/>
      <c r="P56" s="323"/>
    </row>
    <row r="57" spans="1:17" ht="21" x14ac:dyDescent="0.35">
      <c r="A57" s="3" t="s">
        <v>9</v>
      </c>
      <c r="B57" s="307">
        <f>'Пр №1'!B60:G60</f>
        <v>103001</v>
      </c>
      <c r="C57" s="307"/>
      <c r="D57" s="307"/>
      <c r="E57" s="307"/>
      <c r="F57" s="307"/>
      <c r="G57" s="307"/>
      <c r="H57" s="3"/>
      <c r="I57" s="3"/>
      <c r="J57" s="3" t="str">
        <f>'Акт расч'!J69</f>
        <v>БИК:</v>
      </c>
      <c r="K57" s="307">
        <f>'Пр №1'!K60:P60</f>
        <v>0</v>
      </c>
      <c r="L57" s="307"/>
      <c r="M57" s="307"/>
      <c r="N57" s="307"/>
      <c r="O57" s="307"/>
      <c r="P57" s="307"/>
    </row>
    <row r="58" spans="1:17" ht="21" x14ac:dyDescent="0.35">
      <c r="A58" s="307" t="str">
        <f>'Пр №1'!A61:G61</f>
        <v>УГНС 003 Свердловского района</v>
      </c>
      <c r="B58" s="307"/>
      <c r="C58" s="307"/>
      <c r="D58" s="307"/>
      <c r="E58" s="307"/>
      <c r="F58" s="307"/>
      <c r="G58" s="307"/>
      <c r="H58" s="3"/>
      <c r="I58" s="3"/>
      <c r="J58" s="307" t="str">
        <f>'Акт расч'!J70:P70</f>
        <v>УГНС 000</v>
      </c>
      <c r="K58" s="307"/>
      <c r="L58" s="307"/>
      <c r="M58" s="307"/>
      <c r="N58" s="307"/>
      <c r="O58" s="307"/>
      <c r="P58" s="307"/>
    </row>
    <row r="59" spans="1:17" ht="21" x14ac:dyDescent="0.35">
      <c r="A59" s="3" t="str">
        <f>'Пр №1'!A62</f>
        <v>ОКПО:</v>
      </c>
      <c r="B59" s="292">
        <f>'Пр №1'!B62</f>
        <v>32282661</v>
      </c>
      <c r="C59" s="29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7" ht="21" x14ac:dyDescent="0.35">
      <c r="A60" s="292" t="str">
        <f>'Акт расч'!A72:C72</f>
        <v>Зинченко М. А.</v>
      </c>
      <c r="B60" s="292"/>
      <c r="C60" s="292"/>
      <c r="D60" s="292" t="str">
        <f>'Акт расч'!D72:F72</f>
        <v>________________________</v>
      </c>
      <c r="E60" s="292"/>
      <c r="F60" s="292"/>
      <c r="G60" s="3"/>
      <c r="H60" s="3"/>
      <c r="I60" s="3"/>
      <c r="J60" s="292" t="e">
        <f>'Пр №1'!J63:L63</f>
        <v>#VALUE!</v>
      </c>
      <c r="K60" s="292"/>
      <c r="L60" s="292"/>
      <c r="M60" s="307" t="s">
        <v>33</v>
      </c>
      <c r="N60" s="307"/>
      <c r="O60" s="307"/>
      <c r="P60" s="307"/>
    </row>
    <row r="61" spans="1:17" ht="21" x14ac:dyDescent="0.35">
      <c r="A61" s="3"/>
      <c r="B61" s="3"/>
      <c r="C61" s="3"/>
      <c r="D61" s="316" t="str">
        <f>'Акт расч'!D73:F73</f>
        <v>(подпись)</v>
      </c>
      <c r="E61" s="316"/>
      <c r="F61" s="316"/>
      <c r="G61" s="3"/>
      <c r="H61" s="3"/>
      <c r="I61" s="3"/>
      <c r="J61" s="3"/>
      <c r="K61" s="3"/>
      <c r="L61" s="3"/>
      <c r="M61" s="316">
        <f>'Акт расч'!M73:P73</f>
        <v>0</v>
      </c>
      <c r="N61" s="316"/>
      <c r="O61" s="316"/>
      <c r="P61" s="316"/>
    </row>
    <row r="62" spans="1:17" ht="21" x14ac:dyDescent="0.35">
      <c r="A62" s="9" t="str">
        <f>'Пр №1'!A65</f>
        <v xml:space="preserve"> «</v>
      </c>
      <c r="B62" s="15">
        <f ca="1">'Пр №1'!B65</f>
        <v>21</v>
      </c>
      <c r="C62" s="10" t="str">
        <f>'Пр №1'!C65</f>
        <v>»</v>
      </c>
      <c r="D62" s="337" t="str">
        <f ca="1">'Пр №1'!D65:E65</f>
        <v>Ноябрь</v>
      </c>
      <c r="E62" s="337"/>
      <c r="F62" s="10">
        <f ca="1">'Пр №1'!F65</f>
        <v>2025</v>
      </c>
      <c r="G62" s="10" t="str">
        <f>'Пр №1'!G65</f>
        <v>г.</v>
      </c>
      <c r="H62" s="9"/>
      <c r="I62" s="15"/>
      <c r="J62" s="5" t="str">
        <f>A62</f>
        <v xml:space="preserve"> «</v>
      </c>
      <c r="K62" s="5">
        <f ca="1">B62</f>
        <v>21</v>
      </c>
      <c r="L62" s="1" t="str">
        <f>C62</f>
        <v>»</v>
      </c>
      <c r="M62" s="296" t="str">
        <f ca="1">D62</f>
        <v>Ноябрь</v>
      </c>
      <c r="N62" s="296"/>
      <c r="O62" s="1">
        <f ca="1">F62</f>
        <v>2025</v>
      </c>
      <c r="P62" s="1" t="str">
        <f>G62</f>
        <v>г.</v>
      </c>
    </row>
    <row r="63" spans="1:17" ht="21" x14ac:dyDescent="0.35">
      <c r="A63" s="292" t="s">
        <v>26</v>
      </c>
      <c r="B63" s="292"/>
      <c r="C63" s="292" t="str">
        <f>'Пр №1'!C66:G66</f>
        <v xml:space="preserve"> +996 (555) 147 688</v>
      </c>
      <c r="D63" s="292"/>
      <c r="E63" s="292"/>
      <c r="F63" s="292"/>
      <c r="G63" s="292"/>
      <c r="H63" s="3"/>
      <c r="I63" s="3"/>
      <c r="J63" s="292" t="s">
        <v>26</v>
      </c>
      <c r="K63" s="292"/>
      <c r="L63" s="335" t="str">
        <f>'Пр №1'!L66:P66</f>
        <v>{{CLIENT_PHONE}}</v>
      </c>
      <c r="M63" s="335"/>
      <c r="N63" s="335"/>
      <c r="O63" s="335"/>
      <c r="P63" s="335"/>
    </row>
  </sheetData>
  <mergeCells count="213">
    <mergeCell ref="D61:F61"/>
    <mergeCell ref="M61:P61"/>
    <mergeCell ref="D62:E62"/>
    <mergeCell ref="M62:N62"/>
    <mergeCell ref="A63:B63"/>
    <mergeCell ref="C63:G63"/>
    <mergeCell ref="J63:K63"/>
    <mergeCell ref="L63:P63"/>
    <mergeCell ref="A58:G58"/>
    <mergeCell ref="J58:P58"/>
    <mergeCell ref="A60:C60"/>
    <mergeCell ref="D60:F60"/>
    <mergeCell ref="J60:L60"/>
    <mergeCell ref="M60:P60"/>
    <mergeCell ref="B59:C59"/>
    <mergeCell ref="A55:G55"/>
    <mergeCell ref="J55:P55"/>
    <mergeCell ref="B56:G56"/>
    <mergeCell ref="K56:P56"/>
    <mergeCell ref="B57:G57"/>
    <mergeCell ref="K57:P57"/>
    <mergeCell ref="A53:C53"/>
    <mergeCell ref="D53:G53"/>
    <mergeCell ref="J53:L53"/>
    <mergeCell ref="M53:N53"/>
    <mergeCell ref="A54:G54"/>
    <mergeCell ref="J54:P54"/>
    <mergeCell ref="P50:Q50"/>
    <mergeCell ref="A51:B51"/>
    <mergeCell ref="C51:G51"/>
    <mergeCell ref="J51:K51"/>
    <mergeCell ref="L51:Q51"/>
    <mergeCell ref="A52:G52"/>
    <mergeCell ref="J52:Q52"/>
    <mergeCell ref="A49:B49"/>
    <mergeCell ref="E49:G49"/>
    <mergeCell ref="J49:K49"/>
    <mergeCell ref="N49:O49"/>
    <mergeCell ref="A50:B50"/>
    <mergeCell ref="C50:G50"/>
    <mergeCell ref="J50:K50"/>
    <mergeCell ref="M50:N50"/>
    <mergeCell ref="A46:G46"/>
    <mergeCell ref="J46:P46"/>
    <mergeCell ref="B47:G47"/>
    <mergeCell ref="J47:K47"/>
    <mergeCell ref="L47:Q47"/>
    <mergeCell ref="B48:G48"/>
    <mergeCell ref="J48:K48"/>
    <mergeCell ref="L48:P48"/>
    <mergeCell ref="P38:Q38"/>
    <mergeCell ref="B39:O39"/>
    <mergeCell ref="P39:Q39"/>
    <mergeCell ref="A41:B41"/>
    <mergeCell ref="C41:Q41"/>
    <mergeCell ref="A45:Q45"/>
    <mergeCell ref="J37:K37"/>
    <mergeCell ref="L37:M37"/>
    <mergeCell ref="N37:O37"/>
    <mergeCell ref="P37:Q37"/>
    <mergeCell ref="B38:G38"/>
    <mergeCell ref="H38:I38"/>
    <mergeCell ref="J38:K38"/>
    <mergeCell ref="L38:M38"/>
    <mergeCell ref="N38:O38"/>
    <mergeCell ref="B37:G37"/>
    <mergeCell ref="H37:I37"/>
    <mergeCell ref="B36:G36"/>
    <mergeCell ref="H36:I36"/>
    <mergeCell ref="J36:K36"/>
    <mergeCell ref="L36:M36"/>
    <mergeCell ref="N36:O36"/>
    <mergeCell ref="P36:Q36"/>
    <mergeCell ref="B35:G35"/>
    <mergeCell ref="H35:I35"/>
    <mergeCell ref="J35:K35"/>
    <mergeCell ref="L35:M35"/>
    <mergeCell ref="N35:O35"/>
    <mergeCell ref="P35:Q35"/>
    <mergeCell ref="B34:G34"/>
    <mergeCell ref="H34:I34"/>
    <mergeCell ref="J34:K34"/>
    <mergeCell ref="L34:M34"/>
    <mergeCell ref="N34:O34"/>
    <mergeCell ref="P34:Q34"/>
    <mergeCell ref="B33:G33"/>
    <mergeCell ref="H33:I33"/>
    <mergeCell ref="J33:K33"/>
    <mergeCell ref="L33:M33"/>
    <mergeCell ref="N33:O33"/>
    <mergeCell ref="P33:Q33"/>
    <mergeCell ref="B32:G32"/>
    <mergeCell ref="H32:I32"/>
    <mergeCell ref="J32:K32"/>
    <mergeCell ref="L32:M32"/>
    <mergeCell ref="N32:O32"/>
    <mergeCell ref="P32:Q32"/>
    <mergeCell ref="B31:G31"/>
    <mergeCell ref="H31:I31"/>
    <mergeCell ref="J31:K31"/>
    <mergeCell ref="L31:M31"/>
    <mergeCell ref="N31:O31"/>
    <mergeCell ref="P31:Q31"/>
    <mergeCell ref="B30:G30"/>
    <mergeCell ref="H30:I30"/>
    <mergeCell ref="J30:K30"/>
    <mergeCell ref="L30:M30"/>
    <mergeCell ref="N30:O30"/>
    <mergeCell ref="P30:Q30"/>
    <mergeCell ref="B29:G29"/>
    <mergeCell ref="H29:I29"/>
    <mergeCell ref="J29:K29"/>
    <mergeCell ref="L29:M29"/>
    <mergeCell ref="N29:O29"/>
    <mergeCell ref="P29:Q29"/>
    <mergeCell ref="B28:G28"/>
    <mergeCell ref="H28:I28"/>
    <mergeCell ref="J28:K28"/>
    <mergeCell ref="L28:M28"/>
    <mergeCell ref="N28:O28"/>
    <mergeCell ref="P28:Q28"/>
    <mergeCell ref="B27:G27"/>
    <mergeCell ref="H27:I27"/>
    <mergeCell ref="J27:K27"/>
    <mergeCell ref="L27:M27"/>
    <mergeCell ref="N27:O27"/>
    <mergeCell ref="P27:Q27"/>
    <mergeCell ref="B26:G26"/>
    <mergeCell ref="H26:I26"/>
    <mergeCell ref="J26:K26"/>
    <mergeCell ref="L26:M26"/>
    <mergeCell ref="N26:O26"/>
    <mergeCell ref="P26:Q26"/>
    <mergeCell ref="B25:G25"/>
    <mergeCell ref="H25:I25"/>
    <mergeCell ref="J25:K25"/>
    <mergeCell ref="L25:M25"/>
    <mergeCell ref="N25:O25"/>
    <mergeCell ref="P25:Q25"/>
    <mergeCell ref="B24:G24"/>
    <mergeCell ref="H24:I24"/>
    <mergeCell ref="J24:K24"/>
    <mergeCell ref="L24:M24"/>
    <mergeCell ref="N24:O24"/>
    <mergeCell ref="P24:Q24"/>
    <mergeCell ref="B23:G23"/>
    <mergeCell ref="H23:I23"/>
    <mergeCell ref="J23:K23"/>
    <mergeCell ref="L23:M23"/>
    <mergeCell ref="N23:O23"/>
    <mergeCell ref="P23:Q23"/>
    <mergeCell ref="B22:G22"/>
    <mergeCell ref="H22:I22"/>
    <mergeCell ref="J22:K22"/>
    <mergeCell ref="L22:M22"/>
    <mergeCell ref="N22:O22"/>
    <mergeCell ref="P22:Q22"/>
    <mergeCell ref="B21:G21"/>
    <mergeCell ref="H21:I21"/>
    <mergeCell ref="J21:K21"/>
    <mergeCell ref="L21:M21"/>
    <mergeCell ref="N21:O21"/>
    <mergeCell ref="P21:Q21"/>
    <mergeCell ref="B20:G20"/>
    <mergeCell ref="H20:I20"/>
    <mergeCell ref="J20:K20"/>
    <mergeCell ref="L20:M20"/>
    <mergeCell ref="N20:O20"/>
    <mergeCell ref="P20:Q20"/>
    <mergeCell ref="B19:G19"/>
    <mergeCell ref="H19:I19"/>
    <mergeCell ref="J19:K19"/>
    <mergeCell ref="L19:M19"/>
    <mergeCell ref="N19:O19"/>
    <mergeCell ref="P19:Q19"/>
    <mergeCell ref="B18:G18"/>
    <mergeCell ref="H18:I18"/>
    <mergeCell ref="J18:K18"/>
    <mergeCell ref="L18:M18"/>
    <mergeCell ref="N18:O18"/>
    <mergeCell ref="P18:Q18"/>
    <mergeCell ref="B17:G17"/>
    <mergeCell ref="H17:I17"/>
    <mergeCell ref="J17:K17"/>
    <mergeCell ref="L17:M17"/>
    <mergeCell ref="N17:O17"/>
    <mergeCell ref="P17:Q17"/>
    <mergeCell ref="B16:G16"/>
    <mergeCell ref="H16:I16"/>
    <mergeCell ref="J16:K16"/>
    <mergeCell ref="L16:M16"/>
    <mergeCell ref="N16:O16"/>
    <mergeCell ref="P16:Q16"/>
    <mergeCell ref="B12:C12"/>
    <mergeCell ref="D12:G12"/>
    <mergeCell ref="A13:I13"/>
    <mergeCell ref="A14:Q14"/>
    <mergeCell ref="A15:B15"/>
    <mergeCell ref="C15:K15"/>
    <mergeCell ref="A9:Q9"/>
    <mergeCell ref="B10:E10"/>
    <mergeCell ref="F10:H10"/>
    <mergeCell ref="B11:F11"/>
    <mergeCell ref="G11:K11"/>
    <mergeCell ref="A4:Q4"/>
    <mergeCell ref="B6:E6"/>
    <mergeCell ref="L6:M6"/>
    <mergeCell ref="A7:F7"/>
    <mergeCell ref="G7:Q7"/>
    <mergeCell ref="A8:Q8"/>
    <mergeCell ref="I10:Q10"/>
    <mergeCell ref="L11:M11"/>
    <mergeCell ref="N11:P11"/>
  </mergeCells>
  <pageMargins left="0.7" right="0.7" top="0.75" bottom="0.75" header="0.3" footer="0.3"/>
  <pageSetup paperSize="9" scale="49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11"/>
  <dimension ref="A1:CU38"/>
  <sheetViews>
    <sheetView topLeftCell="A7" zoomScale="120" zoomScaleNormal="120" workbookViewId="0">
      <selection activeCell="A9" sqref="A9:AQ9"/>
    </sheetView>
  </sheetViews>
  <sheetFormatPr defaultColWidth="1.42578125" defaultRowHeight="15" x14ac:dyDescent="0.25"/>
  <cols>
    <col min="1" max="5" width="1.42578125" style="33"/>
    <col min="6" max="6" width="1.140625" style="33" customWidth="1"/>
    <col min="7" max="36" width="1.42578125" style="33"/>
    <col min="37" max="37" width="1" style="33" customWidth="1"/>
    <col min="38" max="44" width="1.42578125" style="33"/>
    <col min="45" max="45" width="2.140625" style="33" customWidth="1"/>
    <col min="46" max="46" width="1.42578125" style="33"/>
    <col min="47" max="47" width="1.85546875" style="33" customWidth="1"/>
    <col min="48" max="51" width="1.42578125" style="33"/>
    <col min="52" max="52" width="1.7109375" style="33" customWidth="1"/>
    <col min="53" max="54" width="1.85546875" style="33" customWidth="1"/>
    <col min="55" max="60" width="1.42578125" style="33"/>
    <col min="61" max="61" width="1" style="33" customWidth="1"/>
    <col min="62" max="63" width="1.42578125" style="33"/>
    <col min="64" max="65" width="0.7109375" style="33" customWidth="1"/>
    <col min="66" max="69" width="1.42578125" style="33"/>
    <col min="70" max="70" width="2.140625" style="33" customWidth="1"/>
    <col min="71" max="71" width="3.5703125" style="33" customWidth="1"/>
    <col min="72" max="74" width="1.42578125" style="33"/>
    <col min="75" max="75" width="1.42578125" style="33" customWidth="1"/>
    <col min="76" max="87" width="1.42578125" style="33"/>
    <col min="88" max="88" width="2.140625" style="33" customWidth="1"/>
    <col min="89" max="90" width="1.42578125" style="33"/>
    <col min="91" max="91" width="1.7109375" style="33" customWidth="1"/>
    <col min="92" max="96" width="1.42578125" style="33"/>
    <col min="97" max="97" width="2.28515625" style="33" customWidth="1"/>
    <col min="98" max="98" width="2.140625" style="33" bestFit="1" customWidth="1"/>
    <col min="99" max="16384" width="1.42578125" style="33"/>
  </cols>
  <sheetData>
    <row r="1" spans="1:99" s="32" customFormat="1" ht="15" customHeight="1" x14ac:dyDescent="0.2">
      <c r="A1" s="203"/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3"/>
      <c r="AP1" s="562" t="s">
        <v>85</v>
      </c>
      <c r="AQ1" s="562"/>
      <c r="AR1" s="562"/>
      <c r="AS1" s="562"/>
      <c r="AT1" s="562"/>
      <c r="AU1" s="562"/>
      <c r="AV1" s="562"/>
      <c r="AW1" s="562"/>
      <c r="AX1" s="562"/>
      <c r="AY1" s="562"/>
      <c r="AZ1" s="562"/>
      <c r="BA1" s="562"/>
      <c r="BB1" s="562"/>
      <c r="BC1" s="562"/>
      <c r="BD1" s="562"/>
      <c r="BE1" s="562"/>
      <c r="BF1" s="562"/>
      <c r="BG1" s="562"/>
      <c r="BH1" s="562"/>
      <c r="BI1" s="562"/>
      <c r="BJ1" s="562"/>
      <c r="BK1" s="562"/>
      <c r="BL1" s="563"/>
      <c r="BM1" s="611"/>
      <c r="BN1" s="203"/>
      <c r="BO1" s="203"/>
      <c r="BP1" s="568" t="str">
        <f>A8</f>
        <v>Зинченко Михаил Александрович</v>
      </c>
      <c r="BQ1" s="568"/>
      <c r="BR1" s="568"/>
      <c r="BS1" s="568"/>
      <c r="BT1" s="568"/>
      <c r="BU1" s="568"/>
      <c r="BV1" s="568"/>
      <c r="BW1" s="568"/>
      <c r="BX1" s="568"/>
      <c r="BY1" s="568"/>
      <c r="BZ1" s="568"/>
      <c r="CA1" s="568"/>
      <c r="CB1" s="568"/>
      <c r="CC1" s="568"/>
      <c r="CD1" s="568"/>
      <c r="CE1" s="568"/>
      <c r="CF1" s="568"/>
      <c r="CG1" s="568"/>
      <c r="CH1" s="568"/>
      <c r="CI1" s="568"/>
      <c r="CJ1" s="568"/>
      <c r="CK1" s="568"/>
      <c r="CL1" s="568"/>
      <c r="CM1" s="568"/>
      <c r="CN1" s="568"/>
      <c r="CO1" s="568"/>
      <c r="CP1" s="568"/>
      <c r="CQ1" s="568"/>
      <c r="CR1" s="568"/>
      <c r="CS1" s="568"/>
      <c r="CT1" s="568"/>
      <c r="CU1" s="39"/>
    </row>
    <row r="2" spans="1:99" s="32" customFormat="1" ht="15" customHeight="1" x14ac:dyDescent="0.2">
      <c r="A2" s="203"/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562" t="str">
        <f>РКО!AV2</f>
        <v>Утверждена постановлением нацкомитета Кыргызской республики от 07.04.2003 №4</v>
      </c>
      <c r="X2" s="562"/>
      <c r="Y2" s="562"/>
      <c r="Z2" s="562"/>
      <c r="AA2" s="562"/>
      <c r="AB2" s="562"/>
      <c r="AC2" s="562"/>
      <c r="AD2" s="562"/>
      <c r="AE2" s="562"/>
      <c r="AF2" s="562"/>
      <c r="AG2" s="562"/>
      <c r="AH2" s="562"/>
      <c r="AI2" s="562"/>
      <c r="AJ2" s="562"/>
      <c r="AK2" s="562"/>
      <c r="AL2" s="562"/>
      <c r="AM2" s="562"/>
      <c r="AN2" s="562"/>
      <c r="AO2" s="562"/>
      <c r="AP2" s="562"/>
      <c r="AQ2" s="562"/>
      <c r="AR2" s="562"/>
      <c r="AS2" s="562"/>
      <c r="AT2" s="562"/>
      <c r="AU2" s="562"/>
      <c r="AV2" s="562"/>
      <c r="AW2" s="562"/>
      <c r="AX2" s="562"/>
      <c r="AY2" s="562"/>
      <c r="AZ2" s="562"/>
      <c r="BA2" s="562"/>
      <c r="BB2" s="562"/>
      <c r="BC2" s="562"/>
      <c r="BD2" s="562"/>
      <c r="BE2" s="562"/>
      <c r="BF2" s="562"/>
      <c r="BG2" s="562"/>
      <c r="BH2" s="562"/>
      <c r="BI2" s="562"/>
      <c r="BJ2" s="562"/>
      <c r="BK2" s="562"/>
      <c r="BL2" s="563"/>
      <c r="BM2" s="612"/>
      <c r="BN2" s="203"/>
      <c r="BO2" s="203"/>
      <c r="BP2" s="587" t="str">
        <f>A9</f>
        <v>организация</v>
      </c>
      <c r="BQ2" s="587"/>
      <c r="BR2" s="587"/>
      <c r="BS2" s="587"/>
      <c r="BT2" s="587"/>
      <c r="BU2" s="587"/>
      <c r="BV2" s="587"/>
      <c r="BW2" s="587"/>
      <c r="BX2" s="587"/>
      <c r="BY2" s="587"/>
      <c r="BZ2" s="587"/>
      <c r="CA2" s="587"/>
      <c r="CB2" s="587"/>
      <c r="CC2" s="587"/>
      <c r="CD2" s="587"/>
      <c r="CE2" s="587"/>
      <c r="CF2" s="587"/>
      <c r="CG2" s="587"/>
      <c r="CH2" s="587"/>
      <c r="CI2" s="587"/>
      <c r="CJ2" s="587"/>
      <c r="CK2" s="587"/>
      <c r="CL2" s="587"/>
      <c r="CM2" s="587"/>
      <c r="CN2" s="587"/>
      <c r="CO2" s="587"/>
      <c r="CP2" s="587"/>
      <c r="CQ2" s="587"/>
      <c r="CR2" s="587"/>
      <c r="CS2" s="587"/>
      <c r="CT2" s="587"/>
      <c r="CU2" s="39"/>
    </row>
    <row r="3" spans="1:99" x14ac:dyDescent="0.25">
      <c r="A3" s="204"/>
      <c r="B3" s="204"/>
      <c r="C3" s="204"/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04"/>
      <c r="AN3" s="204"/>
      <c r="AO3" s="204"/>
      <c r="AP3" s="204"/>
      <c r="AQ3" s="204"/>
      <c r="AR3" s="614"/>
      <c r="AS3" s="614"/>
      <c r="AT3" s="614"/>
      <c r="AU3" s="614"/>
      <c r="AV3" s="614"/>
      <c r="AW3" s="614"/>
      <c r="AX3" s="614"/>
      <c r="AY3" s="614"/>
      <c r="AZ3" s="614"/>
      <c r="BA3" s="614"/>
      <c r="BB3" s="614"/>
      <c r="BC3" s="614"/>
      <c r="BD3" s="614"/>
      <c r="BE3" s="204"/>
      <c r="BF3" s="204"/>
      <c r="BG3" s="204"/>
      <c r="BH3" s="204"/>
      <c r="BI3" s="204"/>
      <c r="BJ3" s="204"/>
      <c r="BK3" s="204"/>
      <c r="BL3" s="204"/>
      <c r="BM3" s="612"/>
      <c r="BN3" s="204"/>
      <c r="BO3" s="204"/>
      <c r="BP3" s="568" t="s">
        <v>125</v>
      </c>
      <c r="BQ3" s="568"/>
      <c r="BR3" s="568"/>
      <c r="BS3" s="568"/>
      <c r="BT3" s="568"/>
      <c r="BU3" s="568"/>
      <c r="BV3" s="568"/>
      <c r="BW3" s="568"/>
      <c r="BX3" s="568"/>
      <c r="BY3" s="568"/>
      <c r="BZ3" s="568"/>
      <c r="CA3" s="568"/>
      <c r="CB3" s="568"/>
      <c r="CC3" s="568"/>
      <c r="CD3" s="568"/>
      <c r="CE3" s="568"/>
      <c r="CF3" s="568"/>
      <c r="CG3" s="568"/>
      <c r="CH3" s="568"/>
      <c r="CI3" s="568"/>
      <c r="CJ3" s="568"/>
      <c r="CK3" s="568"/>
      <c r="CL3" s="568"/>
      <c r="CM3" s="568"/>
      <c r="CN3" s="568"/>
      <c r="CO3" s="568"/>
      <c r="CP3" s="568"/>
      <c r="CQ3" s="568"/>
      <c r="CR3" s="568"/>
      <c r="CS3" s="568"/>
      <c r="CT3" s="568"/>
      <c r="CU3" s="40"/>
    </row>
    <row r="4" spans="1:99" s="34" customFormat="1" ht="15" customHeight="1" x14ac:dyDescent="0.25">
      <c r="A4" s="205"/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5"/>
      <c r="AJ4" s="205"/>
      <c r="AK4" s="205"/>
      <c r="AL4" s="205"/>
      <c r="AM4" s="205"/>
      <c r="AN4" s="205"/>
      <c r="AO4" s="205"/>
      <c r="AP4" s="205"/>
      <c r="AQ4" s="205"/>
      <c r="AR4" s="205"/>
      <c r="AS4" s="205"/>
      <c r="AT4" s="205"/>
      <c r="AU4" s="205"/>
      <c r="AV4" s="205"/>
      <c r="AW4" s="205"/>
      <c r="AX4" s="205"/>
      <c r="AY4" s="205"/>
      <c r="AZ4" s="205"/>
      <c r="BA4" s="205"/>
      <c r="BB4" s="205"/>
      <c r="BC4" s="205"/>
      <c r="BD4" s="205"/>
      <c r="BE4" s="205"/>
      <c r="BF4" s="205"/>
      <c r="BG4" s="205"/>
      <c r="BH4" s="205"/>
      <c r="BI4" s="205"/>
      <c r="BJ4" s="205"/>
      <c r="BK4" s="205"/>
      <c r="BL4" s="205"/>
      <c r="BM4" s="612"/>
      <c r="BN4" s="205"/>
      <c r="BO4" s="205"/>
      <c r="BP4" s="586" t="s">
        <v>92</v>
      </c>
      <c r="BQ4" s="586"/>
      <c r="BR4" s="586"/>
      <c r="BS4" s="586"/>
      <c r="BT4" s="586"/>
      <c r="BU4" s="586"/>
      <c r="BV4" s="586"/>
      <c r="BW4" s="586"/>
      <c r="BX4" s="586"/>
      <c r="BY4" s="586"/>
      <c r="BZ4" s="586"/>
      <c r="CA4" s="586"/>
      <c r="CB4" s="586"/>
      <c r="CC4" s="586"/>
      <c r="CD4" s="586"/>
      <c r="CE4" s="586"/>
      <c r="CF4" s="586"/>
      <c r="CG4" s="586"/>
      <c r="CH4" s="586"/>
      <c r="CI4" s="586"/>
      <c r="CJ4" s="586"/>
      <c r="CK4" s="586"/>
      <c r="CL4" s="586"/>
      <c r="CM4" s="586"/>
      <c r="CN4" s="586"/>
      <c r="CO4" s="586"/>
      <c r="CP4" s="586"/>
      <c r="CQ4" s="586"/>
      <c r="CR4" s="586"/>
      <c r="CS4" s="586"/>
      <c r="CT4" s="586"/>
      <c r="CU4" s="41"/>
    </row>
    <row r="5" spans="1:99" x14ac:dyDescent="0.25">
      <c r="A5" s="204"/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4"/>
      <c r="X5" s="204"/>
      <c r="Y5" s="204"/>
      <c r="Z5" s="204"/>
      <c r="AA5" s="204"/>
      <c r="AB5" s="204"/>
      <c r="AC5" s="204"/>
      <c r="AD5" s="204"/>
      <c r="AE5" s="204"/>
      <c r="AF5" s="204"/>
      <c r="AG5" s="204"/>
      <c r="AH5" s="204"/>
      <c r="AI5" s="204"/>
      <c r="AJ5" s="204"/>
      <c r="AK5" s="204"/>
      <c r="AL5" s="204"/>
      <c r="AM5" s="204"/>
      <c r="AN5" s="204"/>
      <c r="AO5" s="204"/>
      <c r="AP5" s="204"/>
      <c r="AQ5" s="204"/>
      <c r="AR5" s="204"/>
      <c r="AS5" s="204"/>
      <c r="AT5" s="204"/>
      <c r="AU5" s="204"/>
      <c r="AV5" s="204"/>
      <c r="AW5" s="204"/>
      <c r="AX5" s="204"/>
      <c r="AY5" s="204"/>
      <c r="AZ5" s="204"/>
      <c r="BA5" s="204"/>
      <c r="BB5" s="204"/>
      <c r="BC5" s="204"/>
      <c r="BD5" s="204"/>
      <c r="BE5" s="204"/>
      <c r="BF5" s="204"/>
      <c r="BG5" s="204"/>
      <c r="BH5" s="204"/>
      <c r="BI5" s="204"/>
      <c r="BJ5" s="204"/>
      <c r="BK5" s="204"/>
      <c r="BL5" s="204"/>
      <c r="BM5" s="612"/>
      <c r="BN5" s="204"/>
      <c r="BO5" s="204"/>
      <c r="BP5" s="204"/>
      <c r="BQ5" s="204"/>
      <c r="BR5" s="204"/>
      <c r="BS5" s="204"/>
      <c r="BT5" s="204"/>
      <c r="BU5" s="204"/>
      <c r="BV5" s="204"/>
      <c r="BW5" s="204"/>
      <c r="BX5" s="204"/>
      <c r="BY5" s="204"/>
      <c r="BZ5" s="204"/>
      <c r="CA5" s="204"/>
      <c r="CB5" s="204"/>
      <c r="CC5" s="204"/>
      <c r="CD5" s="204"/>
      <c r="CE5" s="204"/>
      <c r="CF5" s="204"/>
      <c r="CG5" s="204"/>
      <c r="CH5" s="204"/>
      <c r="CI5" s="204"/>
      <c r="CJ5" s="204"/>
      <c r="CK5" s="204"/>
      <c r="CL5" s="204"/>
      <c r="CM5" s="204"/>
      <c r="CN5" s="204"/>
      <c r="CO5" s="204"/>
      <c r="CP5" s="204"/>
      <c r="CQ5" s="204"/>
      <c r="CR5" s="204"/>
      <c r="CS5" s="204"/>
      <c r="CT5" s="204"/>
      <c r="CU5" s="40"/>
    </row>
    <row r="6" spans="1:99" ht="15.75" thickBot="1" x14ac:dyDescent="0.3">
      <c r="A6" s="204"/>
      <c r="B6" s="204"/>
      <c r="C6" s="204"/>
      <c r="D6" s="204"/>
      <c r="E6" s="204"/>
      <c r="F6" s="204"/>
      <c r="G6" s="204"/>
      <c r="H6" s="204"/>
      <c r="I6" s="204"/>
      <c r="J6" s="204"/>
      <c r="K6" s="204"/>
      <c r="L6" s="204"/>
      <c r="M6" s="204"/>
      <c r="N6" s="204"/>
      <c r="O6" s="204"/>
      <c r="P6" s="204"/>
      <c r="Q6" s="204"/>
      <c r="R6" s="204"/>
      <c r="S6" s="204"/>
      <c r="T6" s="204"/>
      <c r="U6" s="204"/>
      <c r="V6" s="204"/>
      <c r="W6" s="204"/>
      <c r="X6" s="204"/>
      <c r="Y6" s="204"/>
      <c r="Z6" s="204"/>
      <c r="AA6" s="204"/>
      <c r="AB6" s="204"/>
      <c r="AC6" s="204"/>
      <c r="AD6" s="204"/>
      <c r="AE6" s="204"/>
      <c r="AF6" s="204"/>
      <c r="AG6" s="204"/>
      <c r="AH6" s="204"/>
      <c r="AI6" s="204"/>
      <c r="AJ6" s="204"/>
      <c r="AK6" s="204"/>
      <c r="AL6" s="204"/>
      <c r="AM6" s="204"/>
      <c r="AN6" s="204"/>
      <c r="AO6" s="204"/>
      <c r="AP6" s="204"/>
      <c r="AQ6" s="204"/>
      <c r="AR6" s="204"/>
      <c r="AS6" s="204"/>
      <c r="AT6" s="204"/>
      <c r="AU6" s="204"/>
      <c r="AV6" s="204"/>
      <c r="AW6" s="204"/>
      <c r="AX6" s="204"/>
      <c r="AY6" s="204"/>
      <c r="AZ6" s="578" t="s">
        <v>87</v>
      </c>
      <c r="BA6" s="578"/>
      <c r="BB6" s="578"/>
      <c r="BC6" s="578"/>
      <c r="BD6" s="578"/>
      <c r="BE6" s="578"/>
      <c r="BF6" s="578"/>
      <c r="BG6" s="578"/>
      <c r="BH6" s="578"/>
      <c r="BI6" s="578"/>
      <c r="BJ6" s="578"/>
      <c r="BK6" s="578"/>
      <c r="BL6" s="204"/>
      <c r="BM6" s="612"/>
      <c r="BN6" s="204"/>
      <c r="BO6" s="204"/>
      <c r="BP6" s="589" t="s">
        <v>88</v>
      </c>
      <c r="BQ6" s="589"/>
      <c r="BR6" s="589"/>
      <c r="BS6" s="589"/>
      <c r="BT6" s="589"/>
      <c r="BU6" s="589"/>
      <c r="BV6" s="589"/>
      <c r="BW6" s="589"/>
      <c r="BX6" s="589"/>
      <c r="BY6" s="589"/>
      <c r="BZ6" s="589"/>
      <c r="CA6" s="589"/>
      <c r="CB6" s="589"/>
      <c r="CC6" s="589"/>
      <c r="CD6" s="589"/>
      <c r="CE6" s="589"/>
      <c r="CF6" s="589"/>
      <c r="CG6" s="589"/>
      <c r="CH6" s="589"/>
      <c r="CI6" s="589"/>
      <c r="CJ6" s="589"/>
      <c r="CK6" s="589"/>
      <c r="CL6" s="589"/>
      <c r="CM6" s="589"/>
      <c r="CN6" s="589"/>
      <c r="CO6" s="589"/>
      <c r="CP6" s="589"/>
      <c r="CQ6" s="589"/>
      <c r="CR6" s="589"/>
      <c r="CS6" s="589"/>
      <c r="CT6" s="589"/>
      <c r="CU6" s="40"/>
    </row>
    <row r="7" spans="1:99" x14ac:dyDescent="0.25">
      <c r="A7" s="204"/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04"/>
      <c r="Q7" s="204"/>
      <c r="R7" s="204"/>
      <c r="S7" s="204"/>
      <c r="T7" s="204"/>
      <c r="U7" s="204"/>
      <c r="V7" s="204"/>
      <c r="W7" s="204"/>
      <c r="X7" s="204"/>
      <c r="Y7" s="204"/>
      <c r="Z7" s="204"/>
      <c r="AA7" s="204"/>
      <c r="AB7" s="204"/>
      <c r="AC7" s="204"/>
      <c r="AD7" s="204"/>
      <c r="AE7" s="204"/>
      <c r="AF7" s="204"/>
      <c r="AG7" s="204"/>
      <c r="AH7" s="204"/>
      <c r="AI7" s="204"/>
      <c r="AJ7" s="204"/>
      <c r="AK7" s="204"/>
      <c r="AL7" s="204"/>
      <c r="AM7" s="204"/>
      <c r="AN7" s="204"/>
      <c r="AO7" s="204"/>
      <c r="AP7" s="204"/>
      <c r="AQ7" s="204"/>
      <c r="AR7" s="204"/>
      <c r="AS7" s="204"/>
      <c r="AT7" s="204"/>
      <c r="AU7" s="204"/>
      <c r="AV7" s="204"/>
      <c r="AW7" s="204"/>
      <c r="AX7" s="206" t="s">
        <v>616</v>
      </c>
      <c r="AY7" s="204"/>
      <c r="AZ7" s="579" t="s">
        <v>617</v>
      </c>
      <c r="BA7" s="580"/>
      <c r="BB7" s="580"/>
      <c r="BC7" s="580"/>
      <c r="BD7" s="580"/>
      <c r="BE7" s="580"/>
      <c r="BF7" s="580"/>
      <c r="BG7" s="580"/>
      <c r="BH7" s="580"/>
      <c r="BI7" s="580"/>
      <c r="BJ7" s="580"/>
      <c r="BK7" s="581"/>
      <c r="BL7" s="204"/>
      <c r="BM7" s="612"/>
      <c r="BN7" s="204"/>
      <c r="BO7" s="204"/>
      <c r="BP7" s="589"/>
      <c r="BQ7" s="589"/>
      <c r="BR7" s="589"/>
      <c r="BS7" s="589"/>
      <c r="BT7" s="589"/>
      <c r="BU7" s="589"/>
      <c r="BV7" s="589"/>
      <c r="BW7" s="589"/>
      <c r="BX7" s="589"/>
      <c r="BY7" s="589"/>
      <c r="BZ7" s="589"/>
      <c r="CA7" s="589"/>
      <c r="CB7" s="589"/>
      <c r="CC7" s="589"/>
      <c r="CD7" s="589"/>
      <c r="CE7" s="589"/>
      <c r="CF7" s="589"/>
      <c r="CG7" s="589"/>
      <c r="CH7" s="589"/>
      <c r="CI7" s="589"/>
      <c r="CJ7" s="589"/>
      <c r="CK7" s="589"/>
      <c r="CL7" s="589"/>
      <c r="CM7" s="589"/>
      <c r="CN7" s="589"/>
      <c r="CO7" s="589"/>
      <c r="CP7" s="589"/>
      <c r="CQ7" s="589"/>
      <c r="CR7" s="589"/>
      <c r="CS7" s="589"/>
      <c r="CT7" s="589"/>
      <c r="CU7" s="40"/>
    </row>
    <row r="8" spans="1:99" x14ac:dyDescent="0.25">
      <c r="A8" s="568" t="str">
        <f>Дог.!A14</f>
        <v>Зинченко Михаил Александрович</v>
      </c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8"/>
      <c r="N8" s="568"/>
      <c r="O8" s="568"/>
      <c r="P8" s="568"/>
      <c r="Q8" s="568"/>
      <c r="R8" s="568"/>
      <c r="S8" s="568"/>
      <c r="T8" s="568"/>
      <c r="U8" s="568"/>
      <c r="V8" s="568"/>
      <c r="W8" s="568"/>
      <c r="X8" s="568"/>
      <c r="Y8" s="568"/>
      <c r="Z8" s="568"/>
      <c r="AA8" s="568"/>
      <c r="AB8" s="568"/>
      <c r="AC8" s="568"/>
      <c r="AD8" s="568"/>
      <c r="AE8" s="568"/>
      <c r="AF8" s="568"/>
      <c r="AG8" s="568"/>
      <c r="AH8" s="568"/>
      <c r="AI8" s="568"/>
      <c r="AJ8" s="568"/>
      <c r="AK8" s="568"/>
      <c r="AL8" s="568"/>
      <c r="AM8" s="568"/>
      <c r="AN8" s="568"/>
      <c r="AO8" s="568"/>
      <c r="AP8" s="568"/>
      <c r="AQ8" s="568"/>
      <c r="AR8" s="204"/>
      <c r="AS8" s="204"/>
      <c r="AT8" s="204"/>
      <c r="AU8" s="204"/>
      <c r="AV8" s="204"/>
      <c r="AW8" s="204"/>
      <c r="AX8" s="206" t="s">
        <v>90</v>
      </c>
      <c r="AY8" s="204"/>
      <c r="AZ8" s="582" t="s">
        <v>615</v>
      </c>
      <c r="BA8" s="583"/>
      <c r="BB8" s="583"/>
      <c r="BC8" s="583"/>
      <c r="BD8" s="583"/>
      <c r="BE8" s="583"/>
      <c r="BF8" s="583"/>
      <c r="BG8" s="583"/>
      <c r="BH8" s="583"/>
      <c r="BI8" s="583"/>
      <c r="BJ8" s="583"/>
      <c r="BK8" s="584"/>
      <c r="BL8" s="204"/>
      <c r="BM8" s="612"/>
      <c r="BN8" s="204"/>
      <c r="BO8" s="204"/>
      <c r="BP8" s="204"/>
      <c r="BQ8" s="204"/>
      <c r="BR8" s="204"/>
      <c r="BS8" s="204"/>
      <c r="BT8" s="204"/>
      <c r="BU8" s="204"/>
      <c r="BV8" s="204"/>
      <c r="BW8" s="204"/>
      <c r="BX8" s="204"/>
      <c r="BY8" s="204"/>
      <c r="BZ8" s="204"/>
      <c r="CA8" s="204"/>
      <c r="CB8" s="204"/>
      <c r="CC8" s="204"/>
      <c r="CD8" s="204"/>
      <c r="CE8" s="204"/>
      <c r="CF8" s="204"/>
      <c r="CG8" s="204"/>
      <c r="CH8" s="204"/>
      <c r="CI8" s="204"/>
      <c r="CJ8" s="204"/>
      <c r="CK8" s="204"/>
      <c r="CL8" s="204"/>
      <c r="CM8" s="204"/>
      <c r="CN8" s="204"/>
      <c r="CO8" s="204"/>
      <c r="CP8" s="204"/>
      <c r="CQ8" s="204"/>
      <c r="CR8" s="204"/>
      <c r="CS8" s="204"/>
      <c r="CT8" s="204"/>
      <c r="CU8" s="40"/>
    </row>
    <row r="9" spans="1:99" s="34" customFormat="1" ht="15.75" customHeight="1" thickBot="1" x14ac:dyDescent="0.3">
      <c r="A9" s="567" t="s">
        <v>86</v>
      </c>
      <c r="B9" s="567"/>
      <c r="C9" s="567"/>
      <c r="D9" s="567"/>
      <c r="E9" s="567"/>
      <c r="F9" s="567"/>
      <c r="G9" s="567"/>
      <c r="H9" s="567"/>
      <c r="I9" s="567"/>
      <c r="J9" s="567"/>
      <c r="K9" s="567"/>
      <c r="L9" s="567"/>
      <c r="M9" s="567"/>
      <c r="N9" s="567"/>
      <c r="O9" s="567"/>
      <c r="P9" s="567"/>
      <c r="Q9" s="567"/>
      <c r="R9" s="567"/>
      <c r="S9" s="567"/>
      <c r="T9" s="567"/>
      <c r="U9" s="567"/>
      <c r="V9" s="567"/>
      <c r="W9" s="567"/>
      <c r="X9" s="567"/>
      <c r="Y9" s="567"/>
      <c r="Z9" s="567"/>
      <c r="AA9" s="567"/>
      <c r="AB9" s="567"/>
      <c r="AC9" s="567"/>
      <c r="AD9" s="567"/>
      <c r="AE9" s="567"/>
      <c r="AF9" s="567"/>
      <c r="AG9" s="567"/>
      <c r="AH9" s="567"/>
      <c r="AI9" s="567"/>
      <c r="AJ9" s="567"/>
      <c r="AK9" s="567"/>
      <c r="AL9" s="567"/>
      <c r="AM9" s="567"/>
      <c r="AN9" s="567"/>
      <c r="AO9" s="567"/>
      <c r="AP9" s="567"/>
      <c r="AQ9" s="567"/>
      <c r="AR9" s="205"/>
      <c r="AS9" s="205"/>
      <c r="AT9" s="205"/>
      <c r="AU9" s="205"/>
      <c r="AV9" s="205"/>
      <c r="AW9" s="205"/>
      <c r="AX9" s="205"/>
      <c r="AY9" s="205"/>
      <c r="AZ9" s="594"/>
      <c r="BA9" s="595"/>
      <c r="BB9" s="595"/>
      <c r="BC9" s="595"/>
      <c r="BD9" s="595"/>
      <c r="BE9" s="595"/>
      <c r="BF9" s="595"/>
      <c r="BG9" s="595"/>
      <c r="BH9" s="595"/>
      <c r="BI9" s="595"/>
      <c r="BJ9" s="595"/>
      <c r="BK9" s="596"/>
      <c r="BL9" s="205"/>
      <c r="BM9" s="612"/>
      <c r="BN9" s="205"/>
      <c r="BO9" s="205"/>
      <c r="BP9" s="205"/>
      <c r="BQ9" s="205"/>
      <c r="BR9" s="205"/>
      <c r="BS9" s="205"/>
      <c r="BT9" s="205"/>
      <c r="BU9" s="205"/>
      <c r="BV9" s="205"/>
      <c r="BW9" s="205"/>
      <c r="BX9" s="205"/>
      <c r="BY9" s="205"/>
      <c r="BZ9" s="205"/>
      <c r="CA9" s="205"/>
      <c r="CB9" s="205"/>
      <c r="CC9" s="205"/>
      <c r="CD9" s="205"/>
      <c r="CE9" s="205"/>
      <c r="CF9" s="205"/>
      <c r="CG9" s="205"/>
      <c r="CH9" s="205"/>
      <c r="CI9" s="205"/>
      <c r="CJ9" s="205"/>
      <c r="CK9" s="205"/>
      <c r="CL9" s="205"/>
      <c r="CM9" s="205"/>
      <c r="CN9" s="205"/>
      <c r="CO9" s="205"/>
      <c r="CP9" s="205"/>
      <c r="CQ9" s="205"/>
      <c r="CR9" s="205"/>
      <c r="CS9" s="205"/>
      <c r="CT9" s="205"/>
      <c r="CU9" s="41"/>
    </row>
    <row r="10" spans="1:99" ht="15.75" thickBot="1" x14ac:dyDescent="0.3">
      <c r="A10" s="600" t="s">
        <v>142</v>
      </c>
      <c r="B10" s="600"/>
      <c r="C10" s="600"/>
      <c r="D10" s="600"/>
      <c r="E10" s="600"/>
      <c r="F10" s="600"/>
      <c r="G10" s="600"/>
      <c r="H10" s="600"/>
      <c r="I10" s="600"/>
      <c r="J10" s="600"/>
      <c r="K10" s="600"/>
      <c r="L10" s="600"/>
      <c r="M10" s="600"/>
      <c r="N10" s="600"/>
      <c r="O10" s="600"/>
      <c r="P10" s="600"/>
      <c r="Q10" s="600"/>
      <c r="R10" s="600"/>
      <c r="S10" s="600"/>
      <c r="T10" s="600"/>
      <c r="U10" s="600"/>
      <c r="V10" s="600"/>
      <c r="W10" s="600"/>
      <c r="X10" s="600"/>
      <c r="Y10" s="600"/>
      <c r="Z10" s="600"/>
      <c r="AA10" s="600"/>
      <c r="AB10" s="600"/>
      <c r="AC10" s="600"/>
      <c r="AD10" s="600"/>
      <c r="AE10" s="600"/>
      <c r="AF10" s="600"/>
      <c r="AG10" s="600"/>
      <c r="AH10" s="600"/>
      <c r="AI10" s="600"/>
      <c r="AJ10" s="600"/>
      <c r="AK10" s="600"/>
      <c r="AL10" s="600"/>
      <c r="AM10" s="600"/>
      <c r="AN10" s="600"/>
      <c r="AO10" s="600"/>
      <c r="AP10" s="600"/>
      <c r="AQ10" s="600"/>
      <c r="AR10" s="600"/>
      <c r="AS10" s="600"/>
      <c r="AT10" s="600"/>
      <c r="AU10" s="600"/>
      <c r="AV10" s="600"/>
      <c r="AW10" s="600"/>
      <c r="AX10" s="600"/>
      <c r="AY10" s="204"/>
      <c r="AZ10" s="597"/>
      <c r="BA10" s="598"/>
      <c r="BB10" s="598"/>
      <c r="BC10" s="598"/>
      <c r="BD10" s="598"/>
      <c r="BE10" s="598"/>
      <c r="BF10" s="598"/>
      <c r="BG10" s="598"/>
      <c r="BH10" s="598"/>
      <c r="BI10" s="598"/>
      <c r="BJ10" s="598"/>
      <c r="BK10" s="599"/>
      <c r="BL10" s="204"/>
      <c r="BM10" s="612"/>
      <c r="BN10" s="590" t="s">
        <v>91</v>
      </c>
      <c r="BO10" s="591"/>
      <c r="BP10" s="591"/>
      <c r="BQ10" s="591"/>
      <c r="BR10" s="591"/>
      <c r="BS10" s="591"/>
      <c r="BT10" s="591"/>
      <c r="BU10" s="591"/>
      <c r="BV10" s="591"/>
      <c r="BW10" s="591"/>
      <c r="BX10" s="591"/>
      <c r="BY10" s="591"/>
      <c r="BZ10" s="591"/>
      <c r="CA10" s="591"/>
      <c r="CB10" s="591"/>
      <c r="CC10" s="591"/>
      <c r="CD10" s="591"/>
      <c r="CE10" s="591"/>
      <c r="CF10" s="591"/>
      <c r="CG10" s="592">
        <f ca="1">AJ15</f>
        <v>21</v>
      </c>
      <c r="CH10" s="588"/>
      <c r="CI10" s="588"/>
      <c r="CJ10" s="588">
        <f ca="1">AN15</f>
        <v>11</v>
      </c>
      <c r="CK10" s="588"/>
      <c r="CL10" s="588">
        <f ca="1">AQ15</f>
        <v>2025</v>
      </c>
      <c r="CM10" s="588"/>
      <c r="CN10" s="588"/>
      <c r="CO10" s="588"/>
      <c r="CP10" s="593">
        <f ca="1">AU15</f>
        <v>45982.790570370373</v>
      </c>
      <c r="CQ10" s="593"/>
      <c r="CR10" s="593"/>
      <c r="CS10" s="593"/>
      <c r="CT10" s="231">
        <f>AZ15</f>
        <v>1</v>
      </c>
      <c r="CU10" s="42"/>
    </row>
    <row r="11" spans="1:99" s="34" customFormat="1" ht="15" customHeight="1" x14ac:dyDescent="0.25">
      <c r="A11" s="567" t="s">
        <v>92</v>
      </c>
      <c r="B11" s="567"/>
      <c r="C11" s="567"/>
      <c r="D11" s="567"/>
      <c r="E11" s="567"/>
      <c r="F11" s="567"/>
      <c r="G11" s="567"/>
      <c r="H11" s="567"/>
      <c r="I11" s="567"/>
      <c r="J11" s="567"/>
      <c r="K11" s="567"/>
      <c r="L11" s="567"/>
      <c r="M11" s="567"/>
      <c r="N11" s="567"/>
      <c r="O11" s="567"/>
      <c r="P11" s="567"/>
      <c r="Q11" s="567"/>
      <c r="R11" s="567"/>
      <c r="S11" s="567"/>
      <c r="T11" s="567"/>
      <c r="U11" s="567"/>
      <c r="V11" s="567"/>
      <c r="W11" s="567"/>
      <c r="X11" s="567"/>
      <c r="Y11" s="567"/>
      <c r="Z11" s="567"/>
      <c r="AA11" s="567"/>
      <c r="AB11" s="567"/>
      <c r="AC11" s="567"/>
      <c r="AD11" s="567"/>
      <c r="AE11" s="567"/>
      <c r="AF11" s="567"/>
      <c r="AG11" s="567"/>
      <c r="AH11" s="567"/>
      <c r="AI11" s="567"/>
      <c r="AJ11" s="567"/>
      <c r="AK11" s="567"/>
      <c r="AL11" s="567"/>
      <c r="AM11" s="567"/>
      <c r="AN11" s="567"/>
      <c r="AO11" s="567"/>
      <c r="AP11" s="567"/>
      <c r="AQ11" s="567"/>
      <c r="AR11" s="567"/>
      <c r="AS11" s="567"/>
      <c r="AT11" s="567"/>
      <c r="AU11" s="567"/>
      <c r="AV11" s="567"/>
      <c r="AW11" s="567"/>
      <c r="AX11" s="567"/>
      <c r="AY11" s="205"/>
      <c r="AZ11" s="205"/>
      <c r="BA11" s="205"/>
      <c r="BB11" s="205"/>
      <c r="BC11" s="205"/>
      <c r="BD11" s="205"/>
      <c r="BE11" s="205"/>
      <c r="BF11" s="205"/>
      <c r="BG11" s="205"/>
      <c r="BH11" s="205"/>
      <c r="BI11" s="205"/>
      <c r="BJ11" s="205"/>
      <c r="BK11" s="205"/>
      <c r="BL11" s="205"/>
      <c r="BM11" s="612"/>
      <c r="BN11" s="205"/>
      <c r="BO11" s="205"/>
      <c r="BP11" s="205"/>
      <c r="BQ11" s="205"/>
      <c r="BR11" s="205"/>
      <c r="BS11" s="205"/>
      <c r="BT11" s="205"/>
      <c r="BU11" s="205"/>
      <c r="BV11" s="205"/>
      <c r="BW11" s="205"/>
      <c r="BX11" s="205"/>
      <c r="BY11" s="205"/>
      <c r="BZ11" s="205"/>
      <c r="CA11" s="205"/>
      <c r="CB11" s="205"/>
      <c r="CC11" s="205"/>
      <c r="CD11" s="205"/>
      <c r="CE11" s="205"/>
      <c r="CF11" s="205"/>
      <c r="CG11" s="205"/>
      <c r="CH11" s="205"/>
      <c r="CI11" s="205"/>
      <c r="CJ11" s="205"/>
      <c r="CK11" s="205"/>
      <c r="CL11" s="205"/>
      <c r="CM11" s="205"/>
      <c r="CN11" s="205"/>
      <c r="CO11" s="205"/>
      <c r="CP11" s="205"/>
      <c r="CQ11" s="205"/>
      <c r="CR11" s="205"/>
      <c r="CS11" s="205"/>
      <c r="CT11" s="205"/>
      <c r="CU11" s="41"/>
    </row>
    <row r="12" spans="1:99" x14ac:dyDescent="0.25">
      <c r="A12" s="204"/>
      <c r="B12" s="204"/>
      <c r="C12" s="204"/>
      <c r="D12" s="204"/>
      <c r="E12" s="204"/>
      <c r="F12" s="204"/>
      <c r="G12" s="204"/>
      <c r="H12" s="204"/>
      <c r="I12" s="204"/>
      <c r="J12" s="204"/>
      <c r="K12" s="204"/>
      <c r="L12" s="204"/>
      <c r="M12" s="204"/>
      <c r="N12" s="204"/>
      <c r="O12" s="204"/>
      <c r="P12" s="204"/>
      <c r="Q12" s="204"/>
      <c r="R12" s="204"/>
      <c r="S12" s="204"/>
      <c r="T12" s="204"/>
      <c r="U12" s="204"/>
      <c r="V12" s="204"/>
      <c r="W12" s="204"/>
      <c r="X12" s="204"/>
      <c r="Y12" s="204"/>
      <c r="Z12" s="204"/>
      <c r="AA12" s="204"/>
      <c r="AB12" s="204"/>
      <c r="AC12" s="204"/>
      <c r="AD12" s="204"/>
      <c r="AE12" s="204"/>
      <c r="AF12" s="204"/>
      <c r="AG12" s="204"/>
      <c r="AH12" s="204"/>
      <c r="AI12" s="204"/>
      <c r="AJ12" s="204"/>
      <c r="AK12" s="204"/>
      <c r="AL12" s="204"/>
      <c r="AM12" s="204"/>
      <c r="AN12" s="204"/>
      <c r="AO12" s="204"/>
      <c r="AP12" s="204"/>
      <c r="AQ12" s="204"/>
      <c r="AR12" s="204"/>
      <c r="AS12" s="204"/>
      <c r="AT12" s="204"/>
      <c r="AU12" s="204"/>
      <c r="AV12" s="204"/>
      <c r="AW12" s="204"/>
      <c r="AX12" s="204"/>
      <c r="AY12" s="204"/>
      <c r="AZ12" s="204"/>
      <c r="BA12" s="204"/>
      <c r="BB12" s="204"/>
      <c r="BC12" s="204"/>
      <c r="BD12" s="204"/>
      <c r="BE12" s="204"/>
      <c r="BF12" s="204"/>
      <c r="BG12" s="204"/>
      <c r="BH12" s="204"/>
      <c r="BI12" s="204"/>
      <c r="BJ12" s="204"/>
      <c r="BK12" s="204"/>
      <c r="BL12" s="204"/>
      <c r="BM12" s="612"/>
      <c r="BN12" s="204"/>
      <c r="BO12" s="204"/>
      <c r="BP12" s="207" t="s">
        <v>93</v>
      </c>
      <c r="BQ12" s="204"/>
      <c r="BR12" s="204"/>
      <c r="BS12" s="568">
        <f ca="1">'Акт слом'!J6</f>
        <v>21</v>
      </c>
      <c r="BT12" s="568"/>
      <c r="BU12" s="204" t="s">
        <v>23</v>
      </c>
      <c r="BV12" s="568" t="str">
        <f ca="1">'Акт слом'!L6</f>
        <v>Ноябрь</v>
      </c>
      <c r="BW12" s="568"/>
      <c r="BX12" s="568"/>
      <c r="BY12" s="568"/>
      <c r="BZ12" s="568"/>
      <c r="CA12" s="568"/>
      <c r="CB12" s="568"/>
      <c r="CC12" s="568"/>
      <c r="CD12" s="568"/>
      <c r="CE12" s="568"/>
      <c r="CF12" s="204"/>
      <c r="CG12" s="568">
        <f ca="1">'Акт слом'!N6</f>
        <v>2025</v>
      </c>
      <c r="CH12" s="568"/>
      <c r="CI12" s="568"/>
      <c r="CJ12" s="568"/>
      <c r="CK12" s="207" t="s">
        <v>94</v>
      </c>
      <c r="CL12" s="204"/>
      <c r="CM12" s="204"/>
      <c r="CN12" s="204"/>
      <c r="CO12" s="204"/>
      <c r="CP12" s="204"/>
      <c r="CQ12" s="204"/>
      <c r="CR12" s="204"/>
      <c r="CS12" s="204"/>
      <c r="CT12" s="204"/>
      <c r="CU12" s="40"/>
    </row>
    <row r="13" spans="1:99" ht="15" customHeight="1" x14ac:dyDescent="0.25">
      <c r="A13" s="204"/>
      <c r="B13" s="204"/>
      <c r="C13" s="204"/>
      <c r="D13" s="204"/>
      <c r="E13" s="204"/>
      <c r="F13" s="204"/>
      <c r="G13" s="204"/>
      <c r="H13" s="204"/>
      <c r="I13" s="204"/>
      <c r="J13" s="204"/>
      <c r="K13" s="204"/>
      <c r="L13" s="204"/>
      <c r="M13" s="204"/>
      <c r="N13" s="204"/>
      <c r="O13" s="204"/>
      <c r="P13" s="204"/>
      <c r="Q13" s="204"/>
      <c r="R13" s="204"/>
      <c r="S13" s="204"/>
      <c r="T13" s="204"/>
      <c r="U13" s="204"/>
      <c r="V13" s="204"/>
      <c r="W13" s="204"/>
      <c r="X13" s="204"/>
      <c r="Y13" s="204"/>
      <c r="Z13" s="204"/>
      <c r="AA13" s="204"/>
      <c r="AB13" s="204"/>
      <c r="AC13" s="204"/>
      <c r="AD13" s="204"/>
      <c r="AE13" s="204"/>
      <c r="AF13" s="204"/>
      <c r="AG13" s="204"/>
      <c r="AH13" s="204"/>
      <c r="AI13" s="204"/>
      <c r="AJ13" s="617" t="s">
        <v>668</v>
      </c>
      <c r="AK13" s="617"/>
      <c r="AL13" s="617"/>
      <c r="AM13" s="617"/>
      <c r="AN13" s="617"/>
      <c r="AO13" s="617"/>
      <c r="AP13" s="617"/>
      <c r="AQ13" s="617"/>
      <c r="AR13" s="617"/>
      <c r="AS13" s="617"/>
      <c r="AT13" s="617"/>
      <c r="AU13" s="617"/>
      <c r="AV13" s="617"/>
      <c r="AW13" s="617"/>
      <c r="AX13" s="617"/>
      <c r="AY13" s="617"/>
      <c r="AZ13" s="617"/>
      <c r="BA13" s="618"/>
      <c r="BB13" s="578" t="s">
        <v>95</v>
      </c>
      <c r="BC13" s="578"/>
      <c r="BD13" s="578"/>
      <c r="BE13" s="578"/>
      <c r="BF13" s="578"/>
      <c r="BG13" s="578"/>
      <c r="BH13" s="578"/>
      <c r="BI13" s="578"/>
      <c r="BJ13" s="578"/>
      <c r="BK13" s="578"/>
      <c r="BL13" s="204"/>
      <c r="BM13" s="612"/>
      <c r="BN13" s="204"/>
      <c r="BO13" s="204"/>
      <c r="BP13" s="204"/>
      <c r="BQ13" s="204"/>
      <c r="BR13" s="204"/>
      <c r="BS13" s="204"/>
      <c r="BT13" s="204"/>
      <c r="BU13" s="204"/>
      <c r="BV13" s="204"/>
      <c r="BW13" s="204"/>
      <c r="BX13" s="204"/>
      <c r="BY13" s="204"/>
      <c r="BZ13" s="204"/>
      <c r="CA13" s="204"/>
      <c r="CB13" s="204"/>
      <c r="CC13" s="204"/>
      <c r="CD13" s="204"/>
      <c r="CE13" s="204"/>
      <c r="CF13" s="204"/>
      <c r="CG13" s="204"/>
      <c r="CH13" s="204"/>
      <c r="CI13" s="204"/>
      <c r="CJ13" s="204"/>
      <c r="CK13" s="204"/>
      <c r="CL13" s="204"/>
      <c r="CM13" s="204"/>
      <c r="CN13" s="204"/>
      <c r="CO13" s="204"/>
      <c r="CP13" s="204"/>
      <c r="CQ13" s="204"/>
      <c r="CR13" s="204"/>
      <c r="CS13" s="204"/>
      <c r="CT13" s="204"/>
      <c r="CU13" s="40"/>
    </row>
    <row r="14" spans="1:99" ht="15.75" customHeight="1" thickBot="1" x14ac:dyDescent="0.3">
      <c r="A14" s="621" t="s">
        <v>96</v>
      </c>
      <c r="B14" s="621"/>
      <c r="C14" s="621"/>
      <c r="D14" s="621"/>
      <c r="E14" s="621"/>
      <c r="F14" s="621"/>
      <c r="G14" s="621"/>
      <c r="H14" s="621"/>
      <c r="I14" s="621"/>
      <c r="J14" s="621"/>
      <c r="K14" s="621"/>
      <c r="L14" s="621"/>
      <c r="M14" s="621"/>
      <c r="N14" s="621"/>
      <c r="O14" s="621"/>
      <c r="P14" s="621"/>
      <c r="Q14" s="621"/>
      <c r="R14" s="621"/>
      <c r="S14" s="621"/>
      <c r="T14" s="621"/>
      <c r="U14" s="621"/>
      <c r="V14" s="621"/>
      <c r="W14" s="621"/>
      <c r="X14" s="621"/>
      <c r="Y14" s="621"/>
      <c r="Z14" s="621"/>
      <c r="AA14" s="621"/>
      <c r="AB14" s="621"/>
      <c r="AC14" s="621"/>
      <c r="AD14" s="621"/>
      <c r="AE14" s="621"/>
      <c r="AF14" s="621"/>
      <c r="AG14" s="621"/>
      <c r="AH14" s="621"/>
      <c r="AI14" s="621"/>
      <c r="AJ14" s="619"/>
      <c r="AK14" s="619"/>
      <c r="AL14" s="619"/>
      <c r="AM14" s="619"/>
      <c r="AN14" s="619"/>
      <c r="AO14" s="619"/>
      <c r="AP14" s="619"/>
      <c r="AQ14" s="619"/>
      <c r="AR14" s="619"/>
      <c r="AS14" s="619"/>
      <c r="AT14" s="619"/>
      <c r="AU14" s="619"/>
      <c r="AV14" s="619"/>
      <c r="AW14" s="619"/>
      <c r="AX14" s="619"/>
      <c r="AY14" s="619"/>
      <c r="AZ14" s="619"/>
      <c r="BA14" s="620"/>
      <c r="BB14" s="602" t="s">
        <v>97</v>
      </c>
      <c r="BC14" s="602"/>
      <c r="BD14" s="602"/>
      <c r="BE14" s="602"/>
      <c r="BF14" s="602"/>
      <c r="BG14" s="602"/>
      <c r="BH14" s="602"/>
      <c r="BI14" s="602"/>
      <c r="BJ14" s="602"/>
      <c r="BK14" s="602"/>
      <c r="BL14" s="204"/>
      <c r="BM14" s="612"/>
      <c r="BN14" s="204"/>
      <c r="BO14" s="204"/>
      <c r="BP14" s="207" t="s">
        <v>98</v>
      </c>
      <c r="BQ14" s="204"/>
      <c r="BR14" s="204"/>
      <c r="BS14" s="204"/>
      <c r="BT14" s="204"/>
      <c r="BU14" s="204"/>
      <c r="BV14" s="204"/>
      <c r="BW14" s="204"/>
      <c r="BX14" s="568" t="e">
        <f>TRIM(SUBSTITUTE(LEFT(I23&amp;" ",SEARCH(" ",I23&amp;" ")+1)&amp;"."&amp; MID(I23&amp;" ",SEARCH(" ",I23&amp;" ",SEARCH(" ",I23&amp;" ")+1),2)&amp;"."," .",))</f>
        <v>#VALUE!</v>
      </c>
      <c r="BY14" s="568"/>
      <c r="BZ14" s="568"/>
      <c r="CA14" s="568"/>
      <c r="CB14" s="568"/>
      <c r="CC14" s="568"/>
      <c r="CD14" s="568"/>
      <c r="CE14" s="568"/>
      <c r="CF14" s="568"/>
      <c r="CG14" s="568"/>
      <c r="CH14" s="568"/>
      <c r="CI14" s="568"/>
      <c r="CJ14" s="568"/>
      <c r="CK14" s="568"/>
      <c r="CL14" s="568"/>
      <c r="CM14" s="568"/>
      <c r="CN14" s="568"/>
      <c r="CO14" s="568"/>
      <c r="CP14" s="568"/>
      <c r="CQ14" s="568"/>
      <c r="CR14" s="568"/>
      <c r="CS14" s="568"/>
      <c r="CT14" s="568"/>
      <c r="CU14" s="40"/>
    </row>
    <row r="15" spans="1:99" ht="15.75" customHeight="1" thickBot="1" x14ac:dyDescent="0.3">
      <c r="A15" s="229"/>
      <c r="B15" s="229"/>
      <c r="C15" s="229"/>
      <c r="D15" s="229"/>
      <c r="E15" s="229"/>
      <c r="F15" s="229"/>
      <c r="G15" s="229"/>
      <c r="H15" s="229"/>
      <c r="I15" s="229"/>
      <c r="J15" s="229"/>
      <c r="K15" s="229"/>
      <c r="L15" s="229"/>
      <c r="M15" s="229"/>
      <c r="N15" s="229"/>
      <c r="O15" s="229"/>
      <c r="P15" s="229"/>
      <c r="Q15" s="229"/>
      <c r="R15" s="229"/>
      <c r="S15" s="229"/>
      <c r="T15" s="229"/>
      <c r="U15" s="229"/>
      <c r="V15" s="229"/>
      <c r="W15" s="229"/>
      <c r="X15" s="229"/>
      <c r="Y15" s="229"/>
      <c r="Z15" s="229"/>
      <c r="AA15" s="229"/>
      <c r="AB15" s="229"/>
      <c r="AC15" s="229"/>
      <c r="AD15" s="229"/>
      <c r="AE15" s="229"/>
      <c r="AF15" s="229"/>
      <c r="AG15" s="229"/>
      <c r="AH15" s="229"/>
      <c r="AI15" s="229"/>
      <c r="AJ15" s="623">
        <f ca="1">Фактура!K5</f>
        <v>21</v>
      </c>
      <c r="AK15" s="622"/>
      <c r="AL15" s="622"/>
      <c r="AM15" s="622"/>
      <c r="AN15" s="622">
        <f ca="1">Фактура!L5</f>
        <v>11</v>
      </c>
      <c r="AO15" s="622"/>
      <c r="AP15" s="622"/>
      <c r="AQ15" s="588">
        <f ca="1">Фактура!M5</f>
        <v>2025</v>
      </c>
      <c r="AR15" s="588"/>
      <c r="AS15" s="588"/>
      <c r="AT15" s="588"/>
      <c r="AU15" s="593">
        <f ca="1">Фактура!N5</f>
        <v>45982.790570370373</v>
      </c>
      <c r="AV15" s="593"/>
      <c r="AW15" s="593"/>
      <c r="AX15" s="593"/>
      <c r="AY15" s="593"/>
      <c r="AZ15" s="588">
        <f>Фактура!O5</f>
        <v>1</v>
      </c>
      <c r="BA15" s="609"/>
      <c r="BB15" s="603">
        <f ca="1">'Пр №1'!J21</f>
        <v>45982</v>
      </c>
      <c r="BC15" s="604"/>
      <c r="BD15" s="604"/>
      <c r="BE15" s="604"/>
      <c r="BF15" s="604"/>
      <c r="BG15" s="604"/>
      <c r="BH15" s="604"/>
      <c r="BI15" s="604"/>
      <c r="BJ15" s="604"/>
      <c r="BK15" s="605"/>
      <c r="BL15" s="204"/>
      <c r="BM15" s="612"/>
      <c r="BN15" s="204"/>
      <c r="BO15" s="204"/>
      <c r="BP15" s="568"/>
      <c r="BQ15" s="568"/>
      <c r="BR15" s="568"/>
      <c r="BS15" s="568"/>
      <c r="BT15" s="568"/>
      <c r="BU15" s="568"/>
      <c r="BV15" s="568"/>
      <c r="BW15" s="568"/>
      <c r="BX15" s="568"/>
      <c r="BY15" s="568"/>
      <c r="BZ15" s="568"/>
      <c r="CA15" s="568"/>
      <c r="CB15" s="568"/>
      <c r="CC15" s="568"/>
      <c r="CD15" s="568"/>
      <c r="CE15" s="568"/>
      <c r="CF15" s="568"/>
      <c r="CG15" s="568"/>
      <c r="CH15" s="568"/>
      <c r="CI15" s="568"/>
      <c r="CJ15" s="568"/>
      <c r="CK15" s="568"/>
      <c r="CL15" s="568"/>
      <c r="CM15" s="568"/>
      <c r="CN15" s="568"/>
      <c r="CO15" s="568"/>
      <c r="CP15" s="568"/>
      <c r="CQ15" s="568"/>
      <c r="CR15" s="568"/>
      <c r="CS15" s="568"/>
      <c r="CT15" s="568"/>
      <c r="CU15" s="40"/>
    </row>
    <row r="16" spans="1:99" ht="15" customHeight="1" x14ac:dyDescent="0.25">
      <c r="A16" s="230"/>
      <c r="B16" s="230"/>
      <c r="C16" s="230"/>
      <c r="D16" s="230"/>
      <c r="E16" s="230"/>
      <c r="F16" s="230"/>
      <c r="G16" s="230"/>
      <c r="H16" s="230"/>
      <c r="I16" s="230"/>
      <c r="J16" s="230"/>
      <c r="K16" s="230"/>
      <c r="L16" s="230"/>
      <c r="M16" s="230"/>
      <c r="N16" s="230"/>
      <c r="O16" s="230"/>
      <c r="P16" s="230"/>
      <c r="Q16" s="230"/>
      <c r="R16" s="230"/>
      <c r="S16" s="230"/>
      <c r="T16" s="230"/>
      <c r="U16" s="230"/>
      <c r="V16" s="230"/>
      <c r="W16" s="230"/>
      <c r="X16" s="230"/>
      <c r="Y16" s="230"/>
      <c r="Z16" s="230"/>
      <c r="AA16" s="230"/>
      <c r="AB16" s="230"/>
      <c r="AC16" s="230"/>
      <c r="AD16" s="230"/>
      <c r="AE16" s="230"/>
      <c r="AF16" s="230"/>
      <c r="AG16" s="230"/>
      <c r="AH16" s="230"/>
      <c r="AI16" s="230"/>
      <c r="AJ16" s="230"/>
      <c r="AK16" s="230"/>
      <c r="AL16" s="230"/>
      <c r="AM16" s="230"/>
      <c r="AN16" s="230"/>
      <c r="AO16" s="230"/>
      <c r="AP16" s="230"/>
      <c r="AQ16" s="204"/>
      <c r="AR16" s="204"/>
      <c r="AS16" s="204"/>
      <c r="AT16" s="204"/>
      <c r="AU16" s="204"/>
      <c r="AV16" s="204"/>
      <c r="AW16" s="204"/>
      <c r="AX16" s="204"/>
      <c r="AY16" s="204"/>
      <c r="AZ16" s="204"/>
      <c r="BA16" s="204"/>
      <c r="BB16" s="204"/>
      <c r="BC16" s="204"/>
      <c r="BD16" s="204"/>
      <c r="BE16" s="204"/>
      <c r="BF16" s="204"/>
      <c r="BG16" s="204"/>
      <c r="BH16" s="204"/>
      <c r="BI16" s="204"/>
      <c r="BJ16" s="204"/>
      <c r="BK16" s="204"/>
      <c r="BL16" s="204"/>
      <c r="BM16" s="612"/>
      <c r="BN16" s="204"/>
      <c r="BO16" s="204"/>
      <c r="BP16" s="606" t="s">
        <v>99</v>
      </c>
      <c r="BQ16" s="606"/>
      <c r="BR16" s="606"/>
      <c r="BS16" s="606"/>
      <c r="BT16" s="606"/>
      <c r="BU16" s="606"/>
      <c r="BV16" s="606"/>
      <c r="BW16" s="585" t="str">
        <f>I25</f>
        <v xml:space="preserve"> Обеспечительный платеж</v>
      </c>
      <c r="BX16" s="585"/>
      <c r="BY16" s="585"/>
      <c r="BZ16" s="585"/>
      <c r="CA16" s="585"/>
      <c r="CB16" s="585"/>
      <c r="CC16" s="585"/>
      <c r="CD16" s="585"/>
      <c r="CE16" s="585"/>
      <c r="CF16" s="585"/>
      <c r="CG16" s="585"/>
      <c r="CH16" s="585"/>
      <c r="CI16" s="585"/>
      <c r="CJ16" s="585"/>
      <c r="CK16" s="585"/>
      <c r="CL16" s="585"/>
      <c r="CM16" s="585"/>
      <c r="CN16" s="585"/>
      <c r="CO16" s="585"/>
      <c r="CP16" s="585"/>
      <c r="CQ16" s="585"/>
      <c r="CR16" s="585"/>
      <c r="CS16" s="585"/>
      <c r="CT16" s="585"/>
      <c r="CU16" s="40"/>
    </row>
    <row r="17" spans="1:99" x14ac:dyDescent="0.25">
      <c r="A17" s="601" t="s">
        <v>100</v>
      </c>
      <c r="B17" s="601"/>
      <c r="C17" s="601"/>
      <c r="D17" s="601"/>
      <c r="E17" s="601"/>
      <c r="F17" s="601"/>
      <c r="G17" s="615" t="s">
        <v>101</v>
      </c>
      <c r="H17" s="615"/>
      <c r="I17" s="615"/>
      <c r="J17" s="615"/>
      <c r="K17" s="615"/>
      <c r="L17" s="615"/>
      <c r="M17" s="615"/>
      <c r="N17" s="615"/>
      <c r="O17" s="615"/>
      <c r="P17" s="615"/>
      <c r="Q17" s="615"/>
      <c r="R17" s="615"/>
      <c r="S17" s="615"/>
      <c r="T17" s="615"/>
      <c r="U17" s="615"/>
      <c r="V17" s="615"/>
      <c r="W17" s="615"/>
      <c r="X17" s="615"/>
      <c r="Y17" s="615"/>
      <c r="Z17" s="615"/>
      <c r="AA17" s="615"/>
      <c r="AB17" s="615"/>
      <c r="AC17" s="615"/>
      <c r="AD17" s="615"/>
      <c r="AE17" s="615"/>
      <c r="AF17" s="615"/>
      <c r="AG17" s="615"/>
      <c r="AH17" s="615"/>
      <c r="AI17" s="615"/>
      <c r="AJ17" s="615"/>
      <c r="AK17" s="615"/>
      <c r="AL17" s="615"/>
      <c r="AM17" s="601" t="s">
        <v>102</v>
      </c>
      <c r="AN17" s="601"/>
      <c r="AO17" s="601"/>
      <c r="AP17" s="601"/>
      <c r="AQ17" s="601"/>
      <c r="AR17" s="601"/>
      <c r="AS17" s="601"/>
      <c r="AT17" s="601"/>
      <c r="AU17" s="601"/>
      <c r="AV17" s="601"/>
      <c r="AW17" s="601" t="s">
        <v>87</v>
      </c>
      <c r="AX17" s="601"/>
      <c r="AY17" s="601"/>
      <c r="AZ17" s="601"/>
      <c r="BA17" s="601"/>
      <c r="BB17" s="601"/>
      <c r="BC17" s="601"/>
      <c r="BD17" s="601"/>
      <c r="BE17" s="601"/>
      <c r="BF17" s="601"/>
      <c r="BG17" s="601"/>
      <c r="BH17" s="601"/>
      <c r="BI17" s="601"/>
      <c r="BJ17" s="601"/>
      <c r="BK17" s="601"/>
      <c r="BL17" s="204"/>
      <c r="BM17" s="612"/>
      <c r="BN17" s="204"/>
      <c r="BO17" s="204"/>
      <c r="BP17" s="568" t="str">
        <f>AI25</f>
        <v>Аренда строительного оборудования</v>
      </c>
      <c r="BQ17" s="568"/>
      <c r="BR17" s="568"/>
      <c r="BS17" s="568"/>
      <c r="BT17" s="568"/>
      <c r="BU17" s="568"/>
      <c r="BV17" s="568"/>
      <c r="BW17" s="568"/>
      <c r="BX17" s="568"/>
      <c r="BY17" s="568"/>
      <c r="BZ17" s="568"/>
      <c r="CA17" s="568"/>
      <c r="CB17" s="568"/>
      <c r="CC17" s="568"/>
      <c r="CD17" s="568"/>
      <c r="CE17" s="568"/>
      <c r="CF17" s="568"/>
      <c r="CG17" s="568"/>
      <c r="CH17" s="568"/>
      <c r="CI17" s="568"/>
      <c r="CJ17" s="568"/>
      <c r="CK17" s="568"/>
      <c r="CL17" s="568"/>
      <c r="CM17" s="568"/>
      <c r="CN17" s="568"/>
      <c r="CO17" s="568"/>
      <c r="CP17" s="568"/>
      <c r="CQ17" s="568"/>
      <c r="CR17" s="568"/>
      <c r="CS17" s="568"/>
      <c r="CT17" s="568"/>
      <c r="CU17" s="40"/>
    </row>
    <row r="18" spans="1:99" x14ac:dyDescent="0.25">
      <c r="A18" s="577"/>
      <c r="B18" s="577"/>
      <c r="C18" s="577"/>
      <c r="D18" s="577"/>
      <c r="E18" s="577"/>
      <c r="F18" s="577"/>
      <c r="G18" s="577"/>
      <c r="H18" s="577"/>
      <c r="I18" s="577"/>
      <c r="J18" s="577"/>
      <c r="K18" s="577"/>
      <c r="L18" s="577" t="s">
        <v>103</v>
      </c>
      <c r="M18" s="577"/>
      <c r="N18" s="577"/>
      <c r="O18" s="577"/>
      <c r="P18" s="577"/>
      <c r="Q18" s="577"/>
      <c r="R18" s="577"/>
      <c r="S18" s="577"/>
      <c r="T18" s="577"/>
      <c r="U18" s="577" t="s">
        <v>104</v>
      </c>
      <c r="V18" s="577"/>
      <c r="W18" s="577"/>
      <c r="X18" s="577"/>
      <c r="Y18" s="577"/>
      <c r="Z18" s="577"/>
      <c r="AA18" s="577"/>
      <c r="AB18" s="577"/>
      <c r="AC18" s="577"/>
      <c r="AD18" s="577" t="s">
        <v>103</v>
      </c>
      <c r="AE18" s="577"/>
      <c r="AF18" s="577"/>
      <c r="AG18" s="577"/>
      <c r="AH18" s="577"/>
      <c r="AI18" s="577"/>
      <c r="AJ18" s="577"/>
      <c r="AK18" s="577"/>
      <c r="AL18" s="577"/>
      <c r="AM18" s="577" t="s">
        <v>124</v>
      </c>
      <c r="AN18" s="577"/>
      <c r="AO18" s="577"/>
      <c r="AP18" s="577"/>
      <c r="AQ18" s="577"/>
      <c r="AR18" s="577"/>
      <c r="AS18" s="577"/>
      <c r="AT18" s="577"/>
      <c r="AU18" s="577"/>
      <c r="AV18" s="577"/>
      <c r="AW18" s="577" t="s">
        <v>105</v>
      </c>
      <c r="AX18" s="577"/>
      <c r="AY18" s="577"/>
      <c r="AZ18" s="577"/>
      <c r="BA18" s="577"/>
      <c r="BB18" s="577"/>
      <c r="BC18" s="577"/>
      <c r="BD18" s="577"/>
      <c r="BE18" s="577"/>
      <c r="BF18" s="577"/>
      <c r="BG18" s="577"/>
      <c r="BH18" s="577"/>
      <c r="BI18" s="577"/>
      <c r="BJ18" s="577"/>
      <c r="BK18" s="577"/>
      <c r="BL18" s="204"/>
      <c r="BM18" s="612"/>
      <c r="BN18" s="204"/>
      <c r="BO18" s="204"/>
      <c r="BP18" s="585" t="str">
        <f>A26</f>
        <v>{{TOOL_NAME}}</v>
      </c>
      <c r="BQ18" s="585"/>
      <c r="BR18" s="585"/>
      <c r="BS18" s="585"/>
      <c r="BT18" s="585"/>
      <c r="BU18" s="585"/>
      <c r="BV18" s="585"/>
      <c r="BW18" s="585"/>
      <c r="BX18" s="585"/>
      <c r="BY18" s="585"/>
      <c r="BZ18" s="585"/>
      <c r="CA18" s="585"/>
      <c r="CB18" s="585"/>
      <c r="CC18" s="585"/>
      <c r="CD18" s="585"/>
      <c r="CE18" s="585"/>
      <c r="CF18" s="585"/>
      <c r="CG18" s="585"/>
      <c r="CH18" s="585"/>
      <c r="CI18" s="585"/>
      <c r="CJ18" s="585"/>
      <c r="CK18" s="585"/>
      <c r="CL18" s="585"/>
      <c r="CM18" s="585"/>
      <c r="CN18" s="585"/>
      <c r="CO18" s="585"/>
      <c r="CP18" s="585"/>
      <c r="CQ18" s="585"/>
      <c r="CR18" s="585"/>
      <c r="CS18" s="585"/>
      <c r="CT18" s="585"/>
      <c r="CU18" s="40"/>
    </row>
    <row r="19" spans="1:99" x14ac:dyDescent="0.25">
      <c r="A19" s="577"/>
      <c r="B19" s="577"/>
      <c r="C19" s="577"/>
      <c r="D19" s="577"/>
      <c r="E19" s="577"/>
      <c r="F19" s="577"/>
      <c r="G19" s="577"/>
      <c r="H19" s="577"/>
      <c r="I19" s="577"/>
      <c r="J19" s="577"/>
      <c r="K19" s="577"/>
      <c r="L19" s="577" t="s">
        <v>106</v>
      </c>
      <c r="M19" s="577"/>
      <c r="N19" s="577"/>
      <c r="O19" s="577"/>
      <c r="P19" s="577"/>
      <c r="Q19" s="577"/>
      <c r="R19" s="577"/>
      <c r="S19" s="577"/>
      <c r="T19" s="577"/>
      <c r="U19" s="577" t="s">
        <v>107</v>
      </c>
      <c r="V19" s="577"/>
      <c r="W19" s="577"/>
      <c r="X19" s="577"/>
      <c r="Y19" s="577"/>
      <c r="Z19" s="577"/>
      <c r="AA19" s="577"/>
      <c r="AB19" s="577"/>
      <c r="AC19" s="577"/>
      <c r="AD19" s="577" t="s">
        <v>108</v>
      </c>
      <c r="AE19" s="577"/>
      <c r="AF19" s="577"/>
      <c r="AG19" s="577"/>
      <c r="AH19" s="577"/>
      <c r="AI19" s="577"/>
      <c r="AJ19" s="577"/>
      <c r="AK19" s="577"/>
      <c r="AL19" s="577"/>
      <c r="AM19" s="607">
        <f>BU21</f>
        <v>3000</v>
      </c>
      <c r="AN19" s="608"/>
      <c r="AO19" s="608"/>
      <c r="AP19" s="608"/>
      <c r="AQ19" s="608"/>
      <c r="AR19" s="608"/>
      <c r="AS19" s="608"/>
      <c r="AT19" s="608"/>
      <c r="AU19" s="608"/>
      <c r="AV19" s="608"/>
      <c r="AW19" s="577" t="s">
        <v>109</v>
      </c>
      <c r="AX19" s="577"/>
      <c r="AY19" s="577"/>
      <c r="AZ19" s="577"/>
      <c r="BA19" s="577"/>
      <c r="BB19" s="577"/>
      <c r="BC19" s="577"/>
      <c r="BD19" s="577"/>
      <c r="BE19" s="577"/>
      <c r="BF19" s="577"/>
      <c r="BG19" s="577"/>
      <c r="BH19" s="577"/>
      <c r="BI19" s="577"/>
      <c r="BJ19" s="577"/>
      <c r="BK19" s="577"/>
      <c r="BL19" s="204"/>
      <c r="BM19" s="612"/>
      <c r="BN19" s="204"/>
      <c r="BO19" s="204"/>
      <c r="BP19" s="568"/>
      <c r="BQ19" s="568"/>
      <c r="BR19" s="568"/>
      <c r="BS19" s="568"/>
      <c r="BT19" s="568"/>
      <c r="BU19" s="568"/>
      <c r="BV19" s="568"/>
      <c r="BW19" s="568"/>
      <c r="BX19" s="568"/>
      <c r="BY19" s="568"/>
      <c r="BZ19" s="568"/>
      <c r="CA19" s="568"/>
      <c r="CB19" s="568"/>
      <c r="CC19" s="568"/>
      <c r="CD19" s="568"/>
      <c r="CE19" s="568"/>
      <c r="CF19" s="568"/>
      <c r="CG19" s="568"/>
      <c r="CH19" s="568"/>
      <c r="CI19" s="568"/>
      <c r="CJ19" s="568"/>
      <c r="CK19" s="568"/>
      <c r="CL19" s="568"/>
      <c r="CM19" s="568"/>
      <c r="CN19" s="568"/>
      <c r="CO19" s="568"/>
      <c r="CP19" s="568"/>
      <c r="CQ19" s="568"/>
      <c r="CR19" s="568"/>
      <c r="CS19" s="568"/>
      <c r="CT19" s="568"/>
      <c r="CU19" s="40"/>
    </row>
    <row r="20" spans="1:99" ht="15.75" thickBot="1" x14ac:dyDescent="0.3">
      <c r="A20" s="577"/>
      <c r="B20" s="577"/>
      <c r="C20" s="577"/>
      <c r="D20" s="577"/>
      <c r="E20" s="577"/>
      <c r="F20" s="577"/>
      <c r="G20" s="577"/>
      <c r="H20" s="577"/>
      <c r="I20" s="577"/>
      <c r="J20" s="577"/>
      <c r="K20" s="577"/>
      <c r="L20" s="577" t="s">
        <v>110</v>
      </c>
      <c r="M20" s="577"/>
      <c r="N20" s="577"/>
      <c r="O20" s="577"/>
      <c r="P20" s="577"/>
      <c r="Q20" s="577"/>
      <c r="R20" s="577"/>
      <c r="S20" s="577"/>
      <c r="T20" s="577"/>
      <c r="U20" s="577" t="s">
        <v>111</v>
      </c>
      <c r="V20" s="577"/>
      <c r="W20" s="577"/>
      <c r="X20" s="577"/>
      <c r="Y20" s="577"/>
      <c r="Z20" s="577"/>
      <c r="AA20" s="577"/>
      <c r="AB20" s="577"/>
      <c r="AC20" s="577"/>
      <c r="AD20" s="577" t="s">
        <v>112</v>
      </c>
      <c r="AE20" s="577"/>
      <c r="AF20" s="577"/>
      <c r="AG20" s="577"/>
      <c r="AH20" s="577"/>
      <c r="AI20" s="577"/>
      <c r="AJ20" s="577"/>
      <c r="AK20" s="577"/>
      <c r="AL20" s="577"/>
      <c r="AM20" s="577"/>
      <c r="AN20" s="577"/>
      <c r="AO20" s="577"/>
      <c r="AP20" s="577"/>
      <c r="AQ20" s="577"/>
      <c r="AR20" s="577"/>
      <c r="AS20" s="577"/>
      <c r="AT20" s="577"/>
      <c r="AU20" s="577"/>
      <c r="AV20" s="577"/>
      <c r="AW20" s="577"/>
      <c r="AX20" s="577"/>
      <c r="AY20" s="577"/>
      <c r="AZ20" s="577"/>
      <c r="BA20" s="577"/>
      <c r="BB20" s="577"/>
      <c r="BC20" s="577"/>
      <c r="BD20" s="577"/>
      <c r="BE20" s="577"/>
      <c r="BF20" s="577"/>
      <c r="BG20" s="577"/>
      <c r="BH20" s="577"/>
      <c r="BI20" s="577"/>
      <c r="BJ20" s="577"/>
      <c r="BK20" s="577"/>
      <c r="BL20" s="204"/>
      <c r="BM20" s="612"/>
      <c r="BN20" s="204"/>
      <c r="BO20" s="204"/>
      <c r="BP20" s="204"/>
      <c r="BQ20" s="204"/>
      <c r="BR20" s="204"/>
      <c r="BS20" s="204"/>
      <c r="BT20" s="204"/>
      <c r="BU20" s="204"/>
      <c r="BV20" s="204"/>
      <c r="BW20" s="204"/>
      <c r="BX20" s="204"/>
      <c r="BY20" s="204"/>
      <c r="BZ20" s="204"/>
      <c r="CA20" s="204"/>
      <c r="CB20" s="204"/>
      <c r="CC20" s="204"/>
      <c r="CD20" s="204"/>
      <c r="CE20" s="204"/>
      <c r="CF20" s="204"/>
      <c r="CG20" s="204"/>
      <c r="CH20" s="204"/>
      <c r="CI20" s="204"/>
      <c r="CJ20" s="204"/>
      <c r="CK20" s="204"/>
      <c r="CL20" s="204"/>
      <c r="CM20" s="204"/>
      <c r="CN20" s="204"/>
      <c r="CO20" s="204"/>
      <c r="CP20" s="204"/>
      <c r="CQ20" s="204"/>
      <c r="CR20" s="204"/>
      <c r="CS20" s="204"/>
      <c r="CT20" s="204"/>
      <c r="CU20" s="40"/>
    </row>
    <row r="21" spans="1:99" ht="16.5" thickBot="1" x14ac:dyDescent="0.3">
      <c r="A21" s="569"/>
      <c r="B21" s="570"/>
      <c r="C21" s="570"/>
      <c r="D21" s="570"/>
      <c r="E21" s="570"/>
      <c r="F21" s="570"/>
      <c r="G21" s="571"/>
      <c r="H21" s="571"/>
      <c r="I21" s="571"/>
      <c r="J21" s="571"/>
      <c r="K21" s="571"/>
      <c r="L21" s="570" t="s">
        <v>127</v>
      </c>
      <c r="M21" s="570"/>
      <c r="N21" s="570"/>
      <c r="O21" s="570"/>
      <c r="P21" s="570"/>
      <c r="Q21" s="570"/>
      <c r="R21" s="570"/>
      <c r="S21" s="570"/>
      <c r="T21" s="570"/>
      <c r="U21" s="570" t="s">
        <v>139</v>
      </c>
      <c r="V21" s="570"/>
      <c r="W21" s="570"/>
      <c r="X21" s="570"/>
      <c r="Y21" s="570"/>
      <c r="Z21" s="570"/>
      <c r="AA21" s="570"/>
      <c r="AB21" s="570"/>
      <c r="AC21" s="570"/>
      <c r="AD21" s="570" t="s">
        <v>140</v>
      </c>
      <c r="AE21" s="570"/>
      <c r="AF21" s="570"/>
      <c r="AG21" s="570"/>
      <c r="AH21" s="570"/>
      <c r="AI21" s="570"/>
      <c r="AJ21" s="570"/>
      <c r="AK21" s="570"/>
      <c r="AL21" s="570"/>
      <c r="AM21" s="572">
        <f>'Акт расч'!P42</f>
        <v>0</v>
      </c>
      <c r="AN21" s="571"/>
      <c r="AO21" s="571"/>
      <c r="AP21" s="571"/>
      <c r="AQ21" s="571"/>
      <c r="AR21" s="571"/>
      <c r="AS21" s="571"/>
      <c r="AT21" s="571"/>
      <c r="AU21" s="571"/>
      <c r="AV21" s="571"/>
      <c r="AW21" s="570" t="s">
        <v>141</v>
      </c>
      <c r="AX21" s="570"/>
      <c r="AY21" s="570"/>
      <c r="AZ21" s="570"/>
      <c r="BA21" s="570"/>
      <c r="BB21" s="570"/>
      <c r="BC21" s="570"/>
      <c r="BD21" s="570"/>
      <c r="BE21" s="570"/>
      <c r="BF21" s="571"/>
      <c r="BG21" s="571"/>
      <c r="BH21" s="571"/>
      <c r="BI21" s="571"/>
      <c r="BJ21" s="571"/>
      <c r="BK21" s="610"/>
      <c r="BL21" s="204"/>
      <c r="BM21" s="612"/>
      <c r="BN21" s="204"/>
      <c r="BO21" s="204"/>
      <c r="BP21" s="207" t="s">
        <v>113</v>
      </c>
      <c r="BQ21" s="204"/>
      <c r="BR21" s="204"/>
      <c r="BS21" s="204"/>
      <c r="BT21" s="204"/>
      <c r="BU21" s="564">
        <f>'Пр №1'!P30</f>
        <v>3000</v>
      </c>
      <c r="BV21" s="564"/>
      <c r="BW21" s="564"/>
      <c r="BX21" s="564"/>
      <c r="BY21" s="564"/>
      <c r="BZ21" s="564"/>
      <c r="CA21" s="564"/>
      <c r="CB21" s="564"/>
      <c r="CC21" s="564"/>
      <c r="CD21" s="564"/>
      <c r="CE21" s="564"/>
      <c r="CF21" s="564"/>
      <c r="CG21" s="564"/>
      <c r="CH21" s="564"/>
      <c r="CI21" s="564"/>
      <c r="CJ21" s="564"/>
      <c r="CK21" s="564"/>
      <c r="CL21" s="564"/>
      <c r="CM21" s="565" t="s">
        <v>540</v>
      </c>
      <c r="CN21" s="565"/>
      <c r="CO21" s="576" t="s">
        <v>126</v>
      </c>
      <c r="CP21" s="576"/>
      <c r="CQ21" s="576"/>
      <c r="CR21" s="576"/>
      <c r="CS21" s="576"/>
      <c r="CT21" s="576"/>
      <c r="CU21" s="40"/>
    </row>
    <row r="22" spans="1:99" s="34" customFormat="1" ht="15" customHeight="1" x14ac:dyDescent="0.25">
      <c r="A22" s="205"/>
      <c r="B22" s="205"/>
      <c r="C22" s="205"/>
      <c r="D22" s="205"/>
      <c r="E22" s="205"/>
      <c r="F22" s="205"/>
      <c r="G22" s="205"/>
      <c r="H22" s="205"/>
      <c r="I22" s="205"/>
      <c r="J22" s="205"/>
      <c r="K22" s="205"/>
      <c r="L22" s="205"/>
      <c r="M22" s="205"/>
      <c r="N22" s="205"/>
      <c r="O22" s="205"/>
      <c r="P22" s="205"/>
      <c r="Q22" s="205"/>
      <c r="R22" s="205"/>
      <c r="S22" s="205"/>
      <c r="T22" s="205"/>
      <c r="U22" s="205"/>
      <c r="V22" s="205"/>
      <c r="W22" s="205"/>
      <c r="X22" s="205"/>
      <c r="Y22" s="205"/>
      <c r="Z22" s="205"/>
      <c r="AA22" s="205"/>
      <c r="AB22" s="205"/>
      <c r="AC22" s="205"/>
      <c r="AD22" s="205"/>
      <c r="AE22" s="205"/>
      <c r="AF22" s="205"/>
      <c r="AG22" s="205"/>
      <c r="AH22" s="205"/>
      <c r="AI22" s="205"/>
      <c r="AJ22" s="205"/>
      <c r="AK22" s="205"/>
      <c r="AL22" s="205"/>
      <c r="AM22" s="205"/>
      <c r="AN22" s="205"/>
      <c r="AO22" s="205"/>
      <c r="AP22" s="205"/>
      <c r="AQ22" s="205"/>
      <c r="AR22" s="205"/>
      <c r="AS22" s="205"/>
      <c r="AT22" s="205"/>
      <c r="AU22" s="205"/>
      <c r="AV22" s="205"/>
      <c r="AW22" s="205"/>
      <c r="AX22" s="205"/>
      <c r="AY22" s="205"/>
      <c r="AZ22" s="205"/>
      <c r="BA22" s="205"/>
      <c r="BB22" s="205"/>
      <c r="BC22" s="205"/>
      <c r="BD22" s="205"/>
      <c r="BE22" s="205"/>
      <c r="BF22" s="205"/>
      <c r="BG22" s="205"/>
      <c r="BH22" s="205"/>
      <c r="BI22" s="205"/>
      <c r="BJ22" s="205"/>
      <c r="BK22" s="205"/>
      <c r="BL22" s="205"/>
      <c r="BM22" s="612"/>
      <c r="BN22" s="205"/>
      <c r="BO22" s="205"/>
      <c r="BP22" s="205"/>
      <c r="BQ22" s="205"/>
      <c r="BR22" s="205"/>
      <c r="BS22" s="205"/>
      <c r="BT22" s="205"/>
      <c r="BU22" s="566" t="s">
        <v>114</v>
      </c>
      <c r="BV22" s="566"/>
      <c r="BW22" s="566"/>
      <c r="BX22" s="566"/>
      <c r="BY22" s="566"/>
      <c r="BZ22" s="566"/>
      <c r="CA22" s="566"/>
      <c r="CB22" s="566"/>
      <c r="CC22" s="566"/>
      <c r="CD22" s="566"/>
      <c r="CE22" s="566"/>
      <c r="CF22" s="566"/>
      <c r="CG22" s="566"/>
      <c r="CH22" s="566"/>
      <c r="CI22" s="566"/>
      <c r="CJ22" s="566"/>
      <c r="CK22" s="566"/>
      <c r="CL22" s="566"/>
      <c r="CM22" s="208"/>
      <c r="CN22" s="208"/>
      <c r="CO22" s="205"/>
      <c r="CP22" s="205"/>
      <c r="CQ22" s="205"/>
      <c r="CR22" s="205"/>
      <c r="CS22" s="205"/>
      <c r="CT22" s="205"/>
      <c r="CU22" s="41"/>
    </row>
    <row r="23" spans="1:99" ht="15" customHeight="1" x14ac:dyDescent="0.25">
      <c r="A23" s="616" t="s">
        <v>98</v>
      </c>
      <c r="B23" s="616"/>
      <c r="C23" s="616"/>
      <c r="D23" s="616"/>
      <c r="E23" s="616"/>
      <c r="F23" s="616"/>
      <c r="G23" s="616"/>
      <c r="H23" s="616"/>
      <c r="I23" s="576" t="str">
        <f>Дог.!A18</f>
        <v>{{CLIENT_FULLNAME}}</v>
      </c>
      <c r="J23" s="576"/>
      <c r="K23" s="576"/>
      <c r="L23" s="576"/>
      <c r="M23" s="576"/>
      <c r="N23" s="576"/>
      <c r="O23" s="576"/>
      <c r="P23" s="576"/>
      <c r="Q23" s="576"/>
      <c r="R23" s="576"/>
      <c r="S23" s="576"/>
      <c r="T23" s="576"/>
      <c r="U23" s="576"/>
      <c r="V23" s="576"/>
      <c r="W23" s="576"/>
      <c r="X23" s="576"/>
      <c r="Y23" s="576"/>
      <c r="Z23" s="576"/>
      <c r="AA23" s="576"/>
      <c r="AB23" s="576"/>
      <c r="AC23" s="576"/>
      <c r="AD23" s="576"/>
      <c r="AE23" s="576"/>
      <c r="AF23" s="576"/>
      <c r="AG23" s="576"/>
      <c r="AH23" s="576"/>
      <c r="AI23" s="576"/>
      <c r="AJ23" s="576"/>
      <c r="AK23" s="576"/>
      <c r="AL23" s="576"/>
      <c r="AM23" s="576"/>
      <c r="AN23" s="576"/>
      <c r="AO23" s="576"/>
      <c r="AP23" s="576"/>
      <c r="AQ23" s="576"/>
      <c r="AR23" s="576"/>
      <c r="AS23" s="576"/>
      <c r="AT23" s="576"/>
      <c r="AU23" s="576"/>
      <c r="AV23" s="576"/>
      <c r="AW23" s="576"/>
      <c r="AX23" s="576"/>
      <c r="AY23" s="576"/>
      <c r="AZ23" s="576"/>
      <c r="BA23" s="576"/>
      <c r="BB23" s="576"/>
      <c r="BC23" s="576"/>
      <c r="BD23" s="576"/>
      <c r="BE23" s="576"/>
      <c r="BF23" s="576"/>
      <c r="BG23" s="576"/>
      <c r="BH23" s="576"/>
      <c r="BI23" s="576"/>
      <c r="BJ23" s="576"/>
      <c r="BK23" s="576"/>
      <c r="BL23" s="204"/>
      <c r="BM23" s="612"/>
      <c r="BN23" s="573" t="e">
        <f ca="1">[2]!ЧислоПрописьюВалюта(BU21,2)</f>
        <v>#NAME?</v>
      </c>
      <c r="BO23" s="573"/>
      <c r="BP23" s="573"/>
      <c r="BQ23" s="573"/>
      <c r="BR23" s="573"/>
      <c r="BS23" s="573"/>
      <c r="BT23" s="573"/>
      <c r="BU23" s="573"/>
      <c r="BV23" s="573"/>
      <c r="BW23" s="573"/>
      <c r="BX23" s="573"/>
      <c r="BY23" s="573"/>
      <c r="BZ23" s="573"/>
      <c r="CA23" s="573"/>
      <c r="CB23" s="573"/>
      <c r="CC23" s="573"/>
      <c r="CD23" s="573"/>
      <c r="CE23" s="573"/>
      <c r="CF23" s="573"/>
      <c r="CG23" s="573"/>
      <c r="CH23" s="573"/>
      <c r="CI23" s="573"/>
      <c r="CJ23" s="573"/>
      <c r="CK23" s="573"/>
      <c r="CL23" s="573"/>
      <c r="CM23" s="573"/>
      <c r="CN23" s="573"/>
      <c r="CO23" s="573"/>
      <c r="CP23" s="573"/>
      <c r="CQ23" s="573"/>
      <c r="CR23" s="573"/>
      <c r="CS23" s="573"/>
      <c r="CT23" s="573"/>
      <c r="CU23" s="40"/>
    </row>
    <row r="24" spans="1:99" s="34" customFormat="1" ht="10.5" customHeight="1" x14ac:dyDescent="0.25">
      <c r="A24" s="616"/>
      <c r="B24" s="616"/>
      <c r="C24" s="616"/>
      <c r="D24" s="616"/>
      <c r="E24" s="616"/>
      <c r="F24" s="616"/>
      <c r="G24" s="616"/>
      <c r="H24" s="616"/>
      <c r="I24" s="568"/>
      <c r="J24" s="568"/>
      <c r="K24" s="568"/>
      <c r="L24" s="568"/>
      <c r="M24" s="568"/>
      <c r="N24" s="568"/>
      <c r="O24" s="568"/>
      <c r="P24" s="568"/>
      <c r="Q24" s="568"/>
      <c r="R24" s="568"/>
      <c r="S24" s="568"/>
      <c r="T24" s="568"/>
      <c r="U24" s="568"/>
      <c r="V24" s="568"/>
      <c r="W24" s="568"/>
      <c r="X24" s="568"/>
      <c r="Y24" s="568"/>
      <c r="Z24" s="568"/>
      <c r="AA24" s="568"/>
      <c r="AB24" s="568"/>
      <c r="AC24" s="568"/>
      <c r="AD24" s="568"/>
      <c r="AE24" s="568"/>
      <c r="AF24" s="568"/>
      <c r="AG24" s="568"/>
      <c r="AH24" s="568"/>
      <c r="AI24" s="568"/>
      <c r="AJ24" s="568"/>
      <c r="AK24" s="568"/>
      <c r="AL24" s="568"/>
      <c r="AM24" s="568"/>
      <c r="AN24" s="568"/>
      <c r="AO24" s="568"/>
      <c r="AP24" s="568"/>
      <c r="AQ24" s="568"/>
      <c r="AR24" s="568"/>
      <c r="AS24" s="568"/>
      <c r="AT24" s="568"/>
      <c r="AU24" s="568"/>
      <c r="AV24" s="568"/>
      <c r="AW24" s="568"/>
      <c r="AX24" s="568"/>
      <c r="AY24" s="568"/>
      <c r="AZ24" s="568"/>
      <c r="BA24" s="568"/>
      <c r="BB24" s="568"/>
      <c r="BC24" s="568"/>
      <c r="BD24" s="568"/>
      <c r="BE24" s="568"/>
      <c r="BF24" s="568"/>
      <c r="BG24" s="568"/>
      <c r="BH24" s="568"/>
      <c r="BI24" s="568"/>
      <c r="BJ24" s="568"/>
      <c r="BK24" s="568"/>
      <c r="BL24" s="205"/>
      <c r="BM24" s="612"/>
      <c r="BN24" s="573"/>
      <c r="BO24" s="573"/>
      <c r="BP24" s="573"/>
      <c r="BQ24" s="573"/>
      <c r="BR24" s="573"/>
      <c r="BS24" s="573"/>
      <c r="BT24" s="573"/>
      <c r="BU24" s="573"/>
      <c r="BV24" s="573"/>
      <c r="BW24" s="573"/>
      <c r="BX24" s="573"/>
      <c r="BY24" s="573"/>
      <c r="BZ24" s="573"/>
      <c r="CA24" s="573"/>
      <c r="CB24" s="573"/>
      <c r="CC24" s="573"/>
      <c r="CD24" s="573"/>
      <c r="CE24" s="573"/>
      <c r="CF24" s="573"/>
      <c r="CG24" s="573"/>
      <c r="CH24" s="573"/>
      <c r="CI24" s="573"/>
      <c r="CJ24" s="573"/>
      <c r="CK24" s="573"/>
      <c r="CL24" s="573"/>
      <c r="CM24" s="573"/>
      <c r="CN24" s="573"/>
      <c r="CO24" s="573"/>
      <c r="CP24" s="573"/>
      <c r="CQ24" s="573"/>
      <c r="CR24" s="573"/>
      <c r="CS24" s="573"/>
      <c r="CT24" s="573"/>
      <c r="CU24" s="41"/>
    </row>
    <row r="25" spans="1:99" ht="15" customHeight="1" x14ac:dyDescent="0.25">
      <c r="A25" s="576" t="s">
        <v>99</v>
      </c>
      <c r="B25" s="576"/>
      <c r="C25" s="576"/>
      <c r="D25" s="576"/>
      <c r="E25" s="576"/>
      <c r="F25" s="576"/>
      <c r="G25" s="576"/>
      <c r="H25" s="576"/>
      <c r="I25" s="585" t="s">
        <v>658</v>
      </c>
      <c r="J25" s="585"/>
      <c r="K25" s="585"/>
      <c r="L25" s="585"/>
      <c r="M25" s="585"/>
      <c r="N25" s="585"/>
      <c r="O25" s="585"/>
      <c r="P25" s="585"/>
      <c r="Q25" s="585"/>
      <c r="R25" s="585"/>
      <c r="S25" s="585"/>
      <c r="T25" s="585"/>
      <c r="U25" s="585"/>
      <c r="V25" s="585"/>
      <c r="W25" s="585"/>
      <c r="X25" s="585"/>
      <c r="Y25" s="585"/>
      <c r="Z25" s="585"/>
      <c r="AA25" s="585"/>
      <c r="AB25" s="585"/>
      <c r="AC25" s="585"/>
      <c r="AD25" s="585"/>
      <c r="AE25" s="585"/>
      <c r="AF25" s="585"/>
      <c r="AG25" s="585"/>
      <c r="AH25" s="585"/>
      <c r="AI25" s="585" t="s">
        <v>128</v>
      </c>
      <c r="AJ25" s="585"/>
      <c r="AK25" s="585"/>
      <c r="AL25" s="585"/>
      <c r="AM25" s="585"/>
      <c r="AN25" s="585"/>
      <c r="AO25" s="585"/>
      <c r="AP25" s="585"/>
      <c r="AQ25" s="585"/>
      <c r="AR25" s="585"/>
      <c r="AS25" s="585"/>
      <c r="AT25" s="585"/>
      <c r="AU25" s="585"/>
      <c r="AV25" s="585"/>
      <c r="AW25" s="585"/>
      <c r="AX25" s="585"/>
      <c r="AY25" s="585"/>
      <c r="AZ25" s="585"/>
      <c r="BA25" s="585"/>
      <c r="BB25" s="585"/>
      <c r="BC25" s="585"/>
      <c r="BD25" s="585"/>
      <c r="BE25" s="585"/>
      <c r="BF25" s="585"/>
      <c r="BG25" s="585"/>
      <c r="BH25" s="585"/>
      <c r="BI25" s="585"/>
      <c r="BJ25" s="585"/>
      <c r="BK25" s="585"/>
      <c r="BL25" s="204"/>
      <c r="BM25" s="612"/>
      <c r="BN25" s="574"/>
      <c r="BO25" s="574"/>
      <c r="BP25" s="574"/>
      <c r="BQ25" s="574"/>
      <c r="BR25" s="574"/>
      <c r="BS25" s="574"/>
      <c r="BT25" s="574"/>
      <c r="BU25" s="574"/>
      <c r="BV25" s="574"/>
      <c r="BW25" s="574"/>
      <c r="BX25" s="574"/>
      <c r="BY25" s="574"/>
      <c r="BZ25" s="574"/>
      <c r="CA25" s="574"/>
      <c r="CB25" s="574"/>
      <c r="CC25" s="574"/>
      <c r="CD25" s="574"/>
      <c r="CE25" s="574"/>
      <c r="CF25" s="574"/>
      <c r="CG25" s="574"/>
      <c r="CH25" s="574"/>
      <c r="CI25" s="574"/>
      <c r="CJ25" s="574"/>
      <c r="CK25" s="574"/>
      <c r="CL25" s="574"/>
      <c r="CM25" s="574"/>
      <c r="CN25" s="574"/>
      <c r="CO25" s="574"/>
      <c r="CP25" s="574"/>
      <c r="CQ25" s="574"/>
      <c r="CR25" s="574"/>
      <c r="CS25" s="574"/>
      <c r="CT25" s="574"/>
      <c r="CU25" s="40"/>
    </row>
    <row r="26" spans="1:99" ht="15" customHeight="1" x14ac:dyDescent="0.25">
      <c r="A26" s="568" t="str">
        <f>'Пр №1'!B20</f>
        <v>{{TOOL_NAME}}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68"/>
      <c r="AB26" s="568"/>
      <c r="AC26" s="568"/>
      <c r="AD26" s="568"/>
      <c r="AE26" s="568"/>
      <c r="AF26" s="568"/>
      <c r="AG26" s="568"/>
      <c r="AH26" s="568"/>
      <c r="AI26" s="568"/>
      <c r="AJ26" s="568"/>
      <c r="AK26" s="568"/>
      <c r="AL26" s="568"/>
      <c r="AM26" s="568"/>
      <c r="AN26" s="568"/>
      <c r="AO26" s="568"/>
      <c r="AP26" s="568"/>
      <c r="AQ26" s="568"/>
      <c r="AR26" s="568"/>
      <c r="AS26" s="568"/>
      <c r="AT26" s="568"/>
      <c r="AU26" s="568"/>
      <c r="AV26" s="568"/>
      <c r="AW26" s="568"/>
      <c r="AX26" s="568"/>
      <c r="AY26" s="568"/>
      <c r="AZ26" s="568"/>
      <c r="BA26" s="568"/>
      <c r="BB26" s="568"/>
      <c r="BC26" s="568"/>
      <c r="BD26" s="568"/>
      <c r="BE26" s="568"/>
      <c r="BF26" s="568"/>
      <c r="BG26" s="568"/>
      <c r="BH26" s="568"/>
      <c r="BI26" s="568"/>
      <c r="BJ26" s="568"/>
      <c r="BK26" s="568"/>
      <c r="BL26" s="204"/>
      <c r="BM26" s="612"/>
      <c r="BN26" s="575" t="s">
        <v>115</v>
      </c>
      <c r="BO26" s="575"/>
      <c r="BP26" s="575"/>
      <c r="BQ26" s="575"/>
      <c r="BR26" s="575"/>
      <c r="BS26" s="575"/>
      <c r="BT26" s="575"/>
      <c r="BU26" s="575"/>
      <c r="BV26" s="575"/>
      <c r="BW26" s="575"/>
      <c r="BX26" s="575"/>
      <c r="BY26" s="575"/>
      <c r="BZ26" s="575"/>
      <c r="CA26" s="575"/>
      <c r="CB26" s="575"/>
      <c r="CC26" s="575"/>
      <c r="CD26" s="575"/>
      <c r="CE26" s="575"/>
      <c r="CF26" s="575"/>
      <c r="CG26" s="575"/>
      <c r="CH26" s="575"/>
      <c r="CI26" s="575"/>
      <c r="CJ26" s="575"/>
      <c r="CK26" s="575"/>
      <c r="CL26" s="575"/>
      <c r="CM26" s="575"/>
      <c r="CN26" s="575"/>
      <c r="CO26" s="575"/>
      <c r="CP26" s="575"/>
      <c r="CQ26" s="575"/>
      <c r="CR26" s="575"/>
      <c r="CS26" s="575"/>
      <c r="CT26" s="575"/>
      <c r="CU26" s="40"/>
    </row>
    <row r="27" spans="1:99" x14ac:dyDescent="0.25">
      <c r="A27" s="207" t="s">
        <v>113</v>
      </c>
      <c r="B27" s="204"/>
      <c r="C27" s="204"/>
      <c r="D27" s="204"/>
      <c r="E27" s="204"/>
      <c r="F27" s="585" t="e">
        <f ca="1">BN23</f>
        <v>#NAME?</v>
      </c>
      <c r="G27" s="585"/>
      <c r="H27" s="585"/>
      <c r="I27" s="585"/>
      <c r="J27" s="585"/>
      <c r="K27" s="585"/>
      <c r="L27" s="585"/>
      <c r="M27" s="585"/>
      <c r="N27" s="585"/>
      <c r="O27" s="585"/>
      <c r="P27" s="585"/>
      <c r="Q27" s="585"/>
      <c r="R27" s="585"/>
      <c r="S27" s="585"/>
      <c r="T27" s="585"/>
      <c r="U27" s="585"/>
      <c r="V27" s="585"/>
      <c r="W27" s="585"/>
      <c r="X27" s="585"/>
      <c r="Y27" s="585"/>
      <c r="Z27" s="585"/>
      <c r="AA27" s="585"/>
      <c r="AB27" s="585"/>
      <c r="AC27" s="585"/>
      <c r="AD27" s="585"/>
      <c r="AE27" s="585"/>
      <c r="AF27" s="585"/>
      <c r="AG27" s="585"/>
      <c r="AH27" s="585"/>
      <c r="AI27" s="585"/>
      <c r="AJ27" s="585"/>
      <c r="AK27" s="585"/>
      <c r="AL27" s="585"/>
      <c r="AM27" s="585"/>
      <c r="AN27" s="585"/>
      <c r="AO27" s="585"/>
      <c r="AP27" s="585"/>
      <c r="AQ27" s="585"/>
      <c r="AR27" s="585"/>
      <c r="AS27" s="585"/>
      <c r="AT27" s="585"/>
      <c r="AU27" s="585"/>
      <c r="AV27" s="585"/>
      <c r="AW27" s="585"/>
      <c r="AX27" s="585"/>
      <c r="AY27" s="585"/>
      <c r="AZ27" s="585"/>
      <c r="BA27" s="585"/>
      <c r="BB27" s="585"/>
      <c r="BC27" s="585"/>
      <c r="BD27" s="585"/>
      <c r="BE27" s="585"/>
      <c r="BF27" s="585"/>
      <c r="BG27" s="585"/>
      <c r="BH27" s="585"/>
      <c r="BI27" s="585"/>
      <c r="BJ27" s="585"/>
      <c r="BK27" s="585"/>
      <c r="BL27" s="204"/>
      <c r="BM27" s="612"/>
      <c r="BN27" s="204"/>
      <c r="BO27" s="204"/>
      <c r="BP27" s="207" t="s">
        <v>116</v>
      </c>
      <c r="BQ27" s="204"/>
      <c r="BR27" s="204"/>
      <c r="BS27" s="204"/>
      <c r="BT27" s="204"/>
      <c r="BU27" s="204"/>
      <c r="BV27" s="204"/>
      <c r="BW27" s="204"/>
      <c r="BX27" s="568"/>
      <c r="BY27" s="568"/>
      <c r="BZ27" s="568"/>
      <c r="CA27" s="568"/>
      <c r="CB27" s="568"/>
      <c r="CC27" s="568"/>
      <c r="CD27" s="568"/>
      <c r="CE27" s="568"/>
      <c r="CF27" s="568"/>
      <c r="CG27" s="568"/>
      <c r="CH27" s="568"/>
      <c r="CI27" s="568"/>
      <c r="CJ27" s="568"/>
      <c r="CK27" s="568"/>
      <c r="CL27" s="568"/>
      <c r="CM27" s="568"/>
      <c r="CN27" s="568"/>
      <c r="CO27" s="568"/>
      <c r="CP27" s="568"/>
      <c r="CQ27" s="568"/>
      <c r="CR27" s="568"/>
      <c r="CS27" s="568"/>
      <c r="CT27" s="568"/>
      <c r="CU27" s="40"/>
    </row>
    <row r="28" spans="1:99" s="34" customFormat="1" ht="15" customHeight="1" x14ac:dyDescent="0.25">
      <c r="A28" s="205"/>
      <c r="B28" s="205"/>
      <c r="C28" s="205"/>
      <c r="D28" s="205"/>
      <c r="E28" s="205"/>
      <c r="F28" s="567" t="s">
        <v>115</v>
      </c>
      <c r="G28" s="567"/>
      <c r="H28" s="567"/>
      <c r="I28" s="567"/>
      <c r="J28" s="567"/>
      <c r="K28" s="567"/>
      <c r="L28" s="567"/>
      <c r="M28" s="567"/>
      <c r="N28" s="567"/>
      <c r="O28" s="567"/>
      <c r="P28" s="567"/>
      <c r="Q28" s="567"/>
      <c r="R28" s="567"/>
      <c r="S28" s="567"/>
      <c r="T28" s="567"/>
      <c r="U28" s="567"/>
      <c r="V28" s="567"/>
      <c r="W28" s="567"/>
      <c r="X28" s="567"/>
      <c r="Y28" s="567"/>
      <c r="Z28" s="567"/>
      <c r="AA28" s="567"/>
      <c r="AB28" s="567"/>
      <c r="AC28" s="567"/>
      <c r="AD28" s="567"/>
      <c r="AE28" s="567"/>
      <c r="AF28" s="567"/>
      <c r="AG28" s="567"/>
      <c r="AH28" s="567"/>
      <c r="AI28" s="567"/>
      <c r="AJ28" s="567"/>
      <c r="AK28" s="567"/>
      <c r="AL28" s="567"/>
      <c r="AM28" s="567"/>
      <c r="AN28" s="567"/>
      <c r="AO28" s="567"/>
      <c r="AP28" s="567"/>
      <c r="AQ28" s="567"/>
      <c r="AR28" s="567"/>
      <c r="AS28" s="567"/>
      <c r="AT28" s="567"/>
      <c r="AU28" s="567"/>
      <c r="AV28" s="567"/>
      <c r="AW28" s="567"/>
      <c r="AX28" s="567"/>
      <c r="AY28" s="567"/>
      <c r="AZ28" s="567"/>
      <c r="BA28" s="567"/>
      <c r="BB28" s="567"/>
      <c r="BC28" s="567"/>
      <c r="BD28" s="567"/>
      <c r="BE28" s="567"/>
      <c r="BF28" s="567"/>
      <c r="BG28" s="567"/>
      <c r="BH28" s="567"/>
      <c r="BI28" s="567"/>
      <c r="BJ28" s="567"/>
      <c r="BK28" s="567"/>
      <c r="BL28" s="205"/>
      <c r="BM28" s="612"/>
      <c r="BN28" s="205"/>
      <c r="BO28" s="205"/>
      <c r="BP28" s="205"/>
      <c r="BQ28" s="205"/>
      <c r="BR28" s="205"/>
      <c r="BS28" s="205"/>
      <c r="BT28" s="205"/>
      <c r="BU28" s="205"/>
      <c r="BV28" s="205"/>
      <c r="BW28" s="205"/>
      <c r="BX28" s="205"/>
      <c r="BY28" s="205"/>
      <c r="BZ28" s="205"/>
      <c r="CA28" s="205"/>
      <c r="CB28" s="205"/>
      <c r="CC28" s="205"/>
      <c r="CD28" s="205"/>
      <c r="CE28" s="205"/>
      <c r="CF28" s="205"/>
      <c r="CG28" s="205"/>
      <c r="CH28" s="205"/>
      <c r="CI28" s="205"/>
      <c r="CJ28" s="205"/>
      <c r="CK28" s="205"/>
      <c r="CL28" s="205"/>
      <c r="CM28" s="205"/>
      <c r="CN28" s="205"/>
      <c r="CO28" s="205"/>
      <c r="CP28" s="205"/>
      <c r="CQ28" s="205"/>
      <c r="CR28" s="205"/>
      <c r="CS28" s="205"/>
      <c r="CT28" s="205"/>
      <c r="CU28" s="41"/>
    </row>
    <row r="29" spans="1:99" x14ac:dyDescent="0.25">
      <c r="A29" s="568"/>
      <c r="B29" s="568"/>
      <c r="C29" s="568"/>
      <c r="D29" s="568"/>
      <c r="E29" s="568"/>
      <c r="F29" s="568"/>
      <c r="G29" s="568"/>
      <c r="H29" s="568"/>
      <c r="I29" s="568"/>
      <c r="J29" s="568"/>
      <c r="K29" s="568"/>
      <c r="L29" s="568"/>
      <c r="M29" s="568"/>
      <c r="N29" s="568"/>
      <c r="O29" s="568"/>
      <c r="P29" s="568"/>
      <c r="Q29" s="568"/>
      <c r="R29" s="568"/>
      <c r="S29" s="568"/>
      <c r="T29" s="568"/>
      <c r="U29" s="568"/>
      <c r="V29" s="568"/>
      <c r="W29" s="568"/>
      <c r="X29" s="568"/>
      <c r="Y29" s="568"/>
      <c r="Z29" s="568"/>
      <c r="AA29" s="568"/>
      <c r="AB29" s="568"/>
      <c r="AC29" s="568"/>
      <c r="AD29" s="568"/>
      <c r="AE29" s="568"/>
      <c r="AF29" s="568"/>
      <c r="AG29" s="568"/>
      <c r="AH29" s="568"/>
      <c r="AI29" s="568"/>
      <c r="AJ29" s="568"/>
      <c r="AK29" s="568"/>
      <c r="AL29" s="568"/>
      <c r="AM29" s="568"/>
      <c r="AN29" s="568"/>
      <c r="AO29" s="568"/>
      <c r="AP29" s="568"/>
      <c r="AQ29" s="568"/>
      <c r="AR29" s="207"/>
      <c r="AS29" s="204"/>
      <c r="AT29" s="204"/>
      <c r="AU29" s="568"/>
      <c r="AV29" s="568"/>
      <c r="AW29" s="568"/>
      <c r="AX29" s="568"/>
      <c r="AY29" s="568"/>
      <c r="AZ29" s="568"/>
      <c r="BA29" s="568"/>
      <c r="BB29" s="568"/>
      <c r="BC29" s="568"/>
      <c r="BD29" s="568"/>
      <c r="BE29" s="568"/>
      <c r="BF29" s="568"/>
      <c r="BG29" s="568"/>
      <c r="BH29" s="568"/>
      <c r="BI29" s="207"/>
      <c r="BJ29" s="204"/>
      <c r="BK29" s="204"/>
      <c r="BL29" s="204"/>
      <c r="BM29" s="612"/>
      <c r="BN29" s="204"/>
      <c r="BO29" s="204"/>
      <c r="BP29" s="204" t="s">
        <v>117</v>
      </c>
      <c r="BQ29" s="568">
        <f ca="1">BS12</f>
        <v>21</v>
      </c>
      <c r="BR29" s="568"/>
      <c r="BS29" s="204" t="s">
        <v>23</v>
      </c>
      <c r="BT29" s="568" t="str">
        <f ca="1">BV12</f>
        <v>Ноябрь</v>
      </c>
      <c r="BU29" s="568"/>
      <c r="BV29" s="568"/>
      <c r="BW29" s="568"/>
      <c r="BX29" s="568"/>
      <c r="BY29" s="568"/>
      <c r="BZ29" s="568"/>
      <c r="CA29" s="568"/>
      <c r="CB29" s="568"/>
      <c r="CC29" s="568"/>
      <c r="CD29" s="204"/>
      <c r="CE29" s="568">
        <f ca="1">CG12</f>
        <v>2025</v>
      </c>
      <c r="CF29" s="568"/>
      <c r="CG29" s="568"/>
      <c r="CH29" s="568"/>
      <c r="CI29" s="207" t="s">
        <v>94</v>
      </c>
      <c r="CJ29" s="204"/>
      <c r="CK29" s="204"/>
      <c r="CL29" s="204"/>
      <c r="CM29" s="204"/>
      <c r="CN29" s="204"/>
      <c r="CO29" s="204"/>
      <c r="CP29" s="204"/>
      <c r="CQ29" s="204"/>
      <c r="CR29" s="204"/>
      <c r="CS29" s="204"/>
      <c r="CT29" s="204"/>
      <c r="CU29" s="40"/>
    </row>
    <row r="30" spans="1:99" x14ac:dyDescent="0.25">
      <c r="A30" s="606" t="s">
        <v>116</v>
      </c>
      <c r="B30" s="606"/>
      <c r="C30" s="606"/>
      <c r="D30" s="606"/>
      <c r="E30" s="606"/>
      <c r="F30" s="606"/>
      <c r="G30" s="606"/>
      <c r="H30" s="606"/>
      <c r="I30" s="606"/>
      <c r="J30" s="606"/>
      <c r="K30" s="209"/>
      <c r="L30" s="568"/>
      <c r="M30" s="568"/>
      <c r="N30" s="568"/>
      <c r="O30" s="568"/>
      <c r="P30" s="568"/>
      <c r="Q30" s="568"/>
      <c r="R30" s="568"/>
      <c r="S30" s="568"/>
      <c r="T30" s="568"/>
      <c r="U30" s="568"/>
      <c r="V30" s="568"/>
      <c r="W30" s="568"/>
      <c r="X30" s="568"/>
      <c r="Y30" s="568"/>
      <c r="Z30" s="568"/>
      <c r="AA30" s="568"/>
      <c r="AB30" s="568"/>
      <c r="AC30" s="568"/>
      <c r="AD30" s="568"/>
      <c r="AE30" s="568"/>
      <c r="AF30" s="568"/>
      <c r="AG30" s="568"/>
      <c r="AH30" s="568"/>
      <c r="AI30" s="568"/>
      <c r="AJ30" s="568"/>
      <c r="AK30" s="568"/>
      <c r="AL30" s="568"/>
      <c r="AM30" s="568"/>
      <c r="AN30" s="568"/>
      <c r="AO30" s="568"/>
      <c r="AP30" s="568"/>
      <c r="AQ30" s="568"/>
      <c r="AR30" s="568"/>
      <c r="AS30" s="568"/>
      <c r="AT30" s="568"/>
      <c r="AU30" s="568"/>
      <c r="AV30" s="568"/>
      <c r="AW30" s="568"/>
      <c r="AX30" s="568"/>
      <c r="AY30" s="568"/>
      <c r="AZ30" s="568"/>
      <c r="BA30" s="568"/>
      <c r="BB30" s="568"/>
      <c r="BC30" s="568"/>
      <c r="BD30" s="568"/>
      <c r="BE30" s="568"/>
      <c r="BF30" s="568"/>
      <c r="BG30" s="568"/>
      <c r="BH30" s="568"/>
      <c r="BI30" s="568"/>
      <c r="BJ30" s="568"/>
      <c r="BK30" s="568"/>
      <c r="BL30" s="204"/>
      <c r="BM30" s="612"/>
      <c r="BN30" s="204"/>
      <c r="BO30" s="204"/>
      <c r="BP30" s="204"/>
      <c r="BQ30" s="204"/>
      <c r="BR30" s="204"/>
      <c r="BS30" s="204"/>
      <c r="BT30" s="204"/>
      <c r="BU30" s="204"/>
      <c r="BV30" s="204"/>
      <c r="BW30" s="204"/>
      <c r="BX30" s="204"/>
      <c r="BY30" s="204"/>
      <c r="BZ30" s="204"/>
      <c r="CA30" s="204"/>
      <c r="CB30" s="204"/>
      <c r="CC30" s="204"/>
      <c r="CD30" s="204"/>
      <c r="CE30" s="204"/>
      <c r="CF30" s="204"/>
      <c r="CG30" s="204"/>
      <c r="CH30" s="204"/>
      <c r="CI30" s="204"/>
      <c r="CJ30" s="204"/>
      <c r="CK30" s="204"/>
      <c r="CL30" s="204"/>
      <c r="CM30" s="204"/>
      <c r="CN30" s="204"/>
      <c r="CO30" s="204"/>
      <c r="CP30" s="204"/>
      <c r="CQ30" s="204"/>
      <c r="CR30" s="204"/>
      <c r="CS30" s="204"/>
      <c r="CT30" s="204"/>
      <c r="CU30" s="40"/>
    </row>
    <row r="31" spans="1:99" x14ac:dyDescent="0.25">
      <c r="A31" s="576" t="s">
        <v>118</v>
      </c>
      <c r="B31" s="576"/>
      <c r="C31" s="576"/>
      <c r="D31" s="576"/>
      <c r="E31" s="576"/>
      <c r="F31" s="576"/>
      <c r="G31" s="576"/>
      <c r="H31" s="576"/>
      <c r="I31" s="576"/>
      <c r="J31" s="576"/>
      <c r="K31" s="210"/>
      <c r="L31" s="585"/>
      <c r="M31" s="585"/>
      <c r="N31" s="585"/>
      <c r="O31" s="585"/>
      <c r="P31" s="585"/>
      <c r="Q31" s="585"/>
      <c r="R31" s="585"/>
      <c r="S31" s="585"/>
      <c r="T31" s="585"/>
      <c r="U31" s="585"/>
      <c r="V31" s="585"/>
      <c r="W31" s="585"/>
      <c r="X31" s="585"/>
      <c r="Y31" s="585"/>
      <c r="Z31" s="585"/>
      <c r="AA31" s="585"/>
      <c r="AB31" s="585"/>
      <c r="AC31" s="585"/>
      <c r="AD31" s="585"/>
      <c r="AE31" s="585"/>
      <c r="AF31" s="585"/>
      <c r="AG31" s="585"/>
      <c r="AH31" s="585"/>
      <c r="AI31" s="585"/>
      <c r="AJ31" s="585"/>
      <c r="AK31" s="585"/>
      <c r="AL31" s="585"/>
      <c r="AM31" s="585"/>
      <c r="AN31" s="585"/>
      <c r="AO31" s="585"/>
      <c r="AP31" s="585"/>
      <c r="AQ31" s="585"/>
      <c r="AR31" s="585"/>
      <c r="AS31" s="585"/>
      <c r="AT31" s="585"/>
      <c r="AU31" s="585"/>
      <c r="AV31" s="585"/>
      <c r="AW31" s="585"/>
      <c r="AX31" s="585"/>
      <c r="AY31" s="585"/>
      <c r="AZ31" s="585"/>
      <c r="BA31" s="585"/>
      <c r="BB31" s="585"/>
      <c r="BC31" s="585"/>
      <c r="BD31" s="585"/>
      <c r="BE31" s="585"/>
      <c r="BF31" s="585"/>
      <c r="BG31" s="585"/>
      <c r="BH31" s="585"/>
      <c r="BI31" s="585"/>
      <c r="BJ31" s="585"/>
      <c r="BK31" s="585"/>
      <c r="BL31" s="204"/>
      <c r="BM31" s="612"/>
      <c r="BN31" s="576" t="s">
        <v>119</v>
      </c>
      <c r="BO31" s="576"/>
      <c r="BP31" s="576"/>
      <c r="BQ31" s="576"/>
      <c r="BR31" s="576"/>
      <c r="BS31" s="576"/>
      <c r="BT31" s="576"/>
      <c r="BU31" s="576"/>
      <c r="BV31" s="576"/>
      <c r="BW31" s="576"/>
      <c r="BX31" s="576"/>
      <c r="BY31" s="576"/>
      <c r="BZ31" s="576"/>
      <c r="CA31" s="576"/>
      <c r="CB31" s="576"/>
      <c r="CC31" s="576"/>
      <c r="CD31" s="576"/>
      <c r="CE31" s="204"/>
      <c r="CF31" s="204"/>
      <c r="CG31" s="204"/>
      <c r="CH31" s="204"/>
      <c r="CI31" s="204"/>
      <c r="CJ31" s="204"/>
      <c r="CK31" s="204"/>
      <c r="CL31" s="204"/>
      <c r="CM31" s="204"/>
      <c r="CN31" s="204"/>
      <c r="CO31" s="204"/>
      <c r="CP31" s="204"/>
      <c r="CQ31" s="204"/>
      <c r="CR31" s="204"/>
      <c r="CS31" s="204"/>
      <c r="CT31" s="204"/>
      <c r="CU31" s="40"/>
    </row>
    <row r="32" spans="1:99" x14ac:dyDescent="0.25">
      <c r="A32" s="204"/>
      <c r="B32" s="204"/>
      <c r="C32" s="204"/>
      <c r="D32" s="204"/>
      <c r="E32" s="204"/>
      <c r="F32" s="204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  <c r="V32" s="204"/>
      <c r="W32" s="204"/>
      <c r="X32" s="204"/>
      <c r="Y32" s="204"/>
      <c r="Z32" s="204"/>
      <c r="AA32" s="204"/>
      <c r="AB32" s="204"/>
      <c r="AC32" s="204"/>
      <c r="AD32" s="204"/>
      <c r="AE32" s="204"/>
      <c r="AF32" s="204"/>
      <c r="AG32" s="204"/>
      <c r="AH32" s="204"/>
      <c r="AI32" s="204"/>
      <c r="AJ32" s="204"/>
      <c r="AK32" s="204"/>
      <c r="AL32" s="204"/>
      <c r="AM32" s="204"/>
      <c r="AN32" s="204"/>
      <c r="AO32" s="204"/>
      <c r="AP32" s="204"/>
      <c r="AQ32" s="204"/>
      <c r="AR32" s="204"/>
      <c r="AS32" s="204"/>
      <c r="AT32" s="204"/>
      <c r="AU32" s="204"/>
      <c r="AV32" s="204"/>
      <c r="AW32" s="204"/>
      <c r="AX32" s="204"/>
      <c r="AY32" s="204"/>
      <c r="AZ32" s="204"/>
      <c r="BA32" s="204"/>
      <c r="BB32" s="204"/>
      <c r="BC32" s="204"/>
      <c r="BD32" s="204"/>
      <c r="BE32" s="204"/>
      <c r="BF32" s="204"/>
      <c r="BG32" s="204"/>
      <c r="BH32" s="204"/>
      <c r="BI32" s="204"/>
      <c r="BJ32" s="204"/>
      <c r="BK32" s="204"/>
      <c r="BL32" s="204"/>
      <c r="BM32" s="612"/>
      <c r="BN32" s="204"/>
      <c r="BO32" s="204"/>
      <c r="BP32" s="204"/>
      <c r="BQ32" s="204"/>
      <c r="BR32" s="204"/>
      <c r="BS32" s="204"/>
      <c r="BT32" s="204"/>
      <c r="BU32" s="204"/>
      <c r="BV32" s="204"/>
      <c r="BW32" s="204"/>
      <c r="BX32" s="204"/>
      <c r="BY32" s="204"/>
      <c r="BZ32" s="204"/>
      <c r="CA32" s="204"/>
      <c r="CB32" s="204"/>
      <c r="CC32" s="204"/>
      <c r="CD32" s="204"/>
      <c r="CE32" s="204"/>
      <c r="CF32" s="204"/>
      <c r="CG32" s="204"/>
      <c r="CH32" s="204"/>
      <c r="CI32" s="204"/>
      <c r="CJ32" s="204"/>
      <c r="CK32" s="204"/>
      <c r="CL32" s="204"/>
      <c r="CM32" s="204"/>
      <c r="CN32" s="204"/>
      <c r="CO32" s="204"/>
      <c r="CP32" s="204"/>
      <c r="CQ32" s="204"/>
      <c r="CR32" s="204"/>
      <c r="CS32" s="204"/>
      <c r="CT32" s="204"/>
      <c r="CU32" s="40"/>
    </row>
    <row r="33" spans="1:99" x14ac:dyDescent="0.25">
      <c r="A33" s="576" t="s">
        <v>120</v>
      </c>
      <c r="B33" s="576"/>
      <c r="C33" s="576"/>
      <c r="D33" s="576"/>
      <c r="E33" s="576"/>
      <c r="F33" s="576"/>
      <c r="G33" s="576"/>
      <c r="H33" s="576"/>
      <c r="I33" s="576"/>
      <c r="J33" s="576"/>
      <c r="K33" s="576"/>
      <c r="L33" s="576"/>
      <c r="M33" s="576"/>
      <c r="N33" s="576"/>
      <c r="O33" s="209"/>
      <c r="P33" s="209"/>
      <c r="Q33" s="209"/>
      <c r="R33" s="209"/>
      <c r="S33" s="209"/>
      <c r="T33" s="209"/>
      <c r="U33" s="209"/>
      <c r="V33" s="209"/>
      <c r="W33" s="209"/>
      <c r="X33" s="204"/>
      <c r="Y33" s="204"/>
      <c r="Z33" s="568" t="str">
        <f>Дог.!A67</f>
        <v>Зинченко М. А.</v>
      </c>
      <c r="AA33" s="568"/>
      <c r="AB33" s="568"/>
      <c r="AC33" s="568"/>
      <c r="AD33" s="568"/>
      <c r="AE33" s="568"/>
      <c r="AF33" s="568"/>
      <c r="AG33" s="568"/>
      <c r="AH33" s="568"/>
      <c r="AI33" s="568"/>
      <c r="AJ33" s="568"/>
      <c r="AK33" s="568"/>
      <c r="AL33" s="204"/>
      <c r="AM33" s="204"/>
      <c r="AN33" s="204"/>
      <c r="AO33" s="204"/>
      <c r="AP33" s="204"/>
      <c r="AQ33" s="204"/>
      <c r="AR33" s="204"/>
      <c r="AS33" s="204"/>
      <c r="AT33" s="204"/>
      <c r="AU33" s="204"/>
      <c r="AV33" s="204"/>
      <c r="AW33" s="204"/>
      <c r="AX33" s="204"/>
      <c r="AY33" s="204"/>
      <c r="AZ33" s="204"/>
      <c r="BA33" s="204"/>
      <c r="BB33" s="204"/>
      <c r="BC33" s="204"/>
      <c r="BD33" s="204"/>
      <c r="BE33" s="204"/>
      <c r="BF33" s="204"/>
      <c r="BG33" s="204"/>
      <c r="BH33" s="204"/>
      <c r="BI33" s="204"/>
      <c r="BJ33" s="204"/>
      <c r="BK33" s="204"/>
      <c r="BL33" s="204"/>
      <c r="BM33" s="612"/>
      <c r="BN33" s="576" t="s">
        <v>120</v>
      </c>
      <c r="BO33" s="576"/>
      <c r="BP33" s="576"/>
      <c r="BQ33" s="576"/>
      <c r="BR33" s="576"/>
      <c r="BS33" s="576"/>
      <c r="BT33" s="576"/>
      <c r="BU33" s="576"/>
      <c r="BV33" s="576"/>
      <c r="BW33" s="576"/>
      <c r="BX33" s="576"/>
      <c r="BY33" s="576"/>
      <c r="BZ33" s="576"/>
      <c r="CA33" s="576"/>
      <c r="CB33" s="568"/>
      <c r="CC33" s="568"/>
      <c r="CD33" s="568"/>
      <c r="CE33" s="568"/>
      <c r="CF33" s="568"/>
      <c r="CG33" s="568"/>
      <c r="CH33" s="568"/>
      <c r="CI33" s="568"/>
      <c r="CJ33" s="204"/>
      <c r="CK33" s="568" t="str">
        <f>Z33</f>
        <v>Зинченко М. А.</v>
      </c>
      <c r="CL33" s="568"/>
      <c r="CM33" s="568"/>
      <c r="CN33" s="568"/>
      <c r="CO33" s="568"/>
      <c r="CP33" s="568"/>
      <c r="CQ33" s="568"/>
      <c r="CR33" s="568"/>
      <c r="CS33" s="568"/>
      <c r="CT33" s="568"/>
      <c r="CU33" s="40"/>
    </row>
    <row r="34" spans="1:99" s="34" customFormat="1" ht="15" customHeight="1" x14ac:dyDescent="0.25">
      <c r="A34" s="205"/>
      <c r="B34" s="205"/>
      <c r="C34" s="205"/>
      <c r="D34" s="205"/>
      <c r="E34" s="205"/>
      <c r="F34" s="205"/>
      <c r="G34" s="205"/>
      <c r="H34" s="205"/>
      <c r="I34" s="205"/>
      <c r="J34" s="205"/>
      <c r="K34" s="205"/>
      <c r="L34" s="205"/>
      <c r="M34" s="205"/>
      <c r="N34" s="586" t="s">
        <v>63</v>
      </c>
      <c r="O34" s="586"/>
      <c r="P34" s="586"/>
      <c r="Q34" s="586"/>
      <c r="R34" s="586"/>
      <c r="S34" s="586"/>
      <c r="T34" s="586"/>
      <c r="U34" s="586"/>
      <c r="V34" s="586"/>
      <c r="W34" s="586"/>
      <c r="X34" s="205"/>
      <c r="Y34" s="205"/>
      <c r="Z34" s="567" t="s">
        <v>121</v>
      </c>
      <c r="AA34" s="567"/>
      <c r="AB34" s="567"/>
      <c r="AC34" s="567"/>
      <c r="AD34" s="567"/>
      <c r="AE34" s="567"/>
      <c r="AF34" s="567"/>
      <c r="AG34" s="567"/>
      <c r="AH34" s="567"/>
      <c r="AI34" s="567"/>
      <c r="AJ34" s="567"/>
      <c r="AK34" s="567"/>
      <c r="AL34" s="205"/>
      <c r="AM34" s="205"/>
      <c r="AN34" s="205"/>
      <c r="AO34" s="205"/>
      <c r="AP34" s="205"/>
      <c r="AQ34" s="205"/>
      <c r="AR34" s="205"/>
      <c r="AS34" s="205"/>
      <c r="AT34" s="205"/>
      <c r="AU34" s="205"/>
      <c r="AV34" s="205"/>
      <c r="AW34" s="205"/>
      <c r="AX34" s="205"/>
      <c r="AY34" s="205"/>
      <c r="AZ34" s="205"/>
      <c r="BA34" s="205"/>
      <c r="BB34" s="205"/>
      <c r="BC34" s="205"/>
      <c r="BD34" s="205"/>
      <c r="BE34" s="205"/>
      <c r="BF34" s="205"/>
      <c r="BG34" s="205"/>
      <c r="BH34" s="205"/>
      <c r="BI34" s="205"/>
      <c r="BJ34" s="205"/>
      <c r="BK34" s="205"/>
      <c r="BL34" s="205"/>
      <c r="BM34" s="612"/>
      <c r="BN34" s="205"/>
      <c r="BO34" s="205"/>
      <c r="BP34" s="205"/>
      <c r="BQ34" s="205"/>
      <c r="BR34" s="205"/>
      <c r="BS34" s="205"/>
      <c r="BT34" s="205"/>
      <c r="BU34" s="205"/>
      <c r="BV34" s="205"/>
      <c r="BW34" s="205"/>
      <c r="BX34" s="205"/>
      <c r="BY34" s="205"/>
      <c r="BZ34" s="205"/>
      <c r="CA34" s="205"/>
      <c r="CB34" s="586" t="s">
        <v>63</v>
      </c>
      <c r="CC34" s="586"/>
      <c r="CD34" s="586"/>
      <c r="CE34" s="586"/>
      <c r="CF34" s="586"/>
      <c r="CG34" s="586"/>
      <c r="CH34" s="586"/>
      <c r="CI34" s="586"/>
      <c r="CJ34" s="205"/>
      <c r="CK34" s="586" t="s">
        <v>121</v>
      </c>
      <c r="CL34" s="586"/>
      <c r="CM34" s="586"/>
      <c r="CN34" s="586"/>
      <c r="CO34" s="586"/>
      <c r="CP34" s="586"/>
      <c r="CQ34" s="586"/>
      <c r="CR34" s="586"/>
      <c r="CS34" s="586"/>
      <c r="CT34" s="586"/>
      <c r="CU34" s="41"/>
    </row>
    <row r="35" spans="1:99" s="35" customFormat="1" ht="15" customHeight="1" x14ac:dyDescent="0.15">
      <c r="A35" s="211"/>
      <c r="B35" s="211"/>
      <c r="C35" s="211"/>
      <c r="D35" s="211"/>
      <c r="E35" s="211"/>
      <c r="F35" s="211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Y35" s="211"/>
      <c r="Z35" s="211"/>
      <c r="AA35" s="211"/>
      <c r="AB35" s="211"/>
      <c r="AC35" s="211"/>
      <c r="AD35" s="211"/>
      <c r="AE35" s="211"/>
      <c r="AF35" s="211"/>
      <c r="AG35" s="211"/>
      <c r="AH35" s="211"/>
      <c r="AI35" s="211"/>
      <c r="AJ35" s="211"/>
      <c r="AK35" s="211"/>
      <c r="AL35" s="211"/>
      <c r="AM35" s="211"/>
      <c r="AN35" s="211"/>
      <c r="AO35" s="211"/>
      <c r="AP35" s="211"/>
      <c r="AQ35" s="211"/>
      <c r="AR35" s="211"/>
      <c r="AS35" s="211"/>
      <c r="AT35" s="211"/>
      <c r="AU35" s="211"/>
      <c r="AV35" s="211"/>
      <c r="AW35" s="211"/>
      <c r="AX35" s="211"/>
      <c r="AY35" s="211"/>
      <c r="AZ35" s="211"/>
      <c r="BA35" s="211"/>
      <c r="BB35" s="211"/>
      <c r="BC35" s="211"/>
      <c r="BD35" s="211"/>
      <c r="BE35" s="211"/>
      <c r="BF35" s="211"/>
      <c r="BG35" s="211"/>
      <c r="BH35" s="211"/>
      <c r="BI35" s="211"/>
      <c r="BJ35" s="211"/>
      <c r="BK35" s="211"/>
      <c r="BL35" s="211"/>
      <c r="BM35" s="612"/>
      <c r="BN35" s="211"/>
      <c r="BO35" s="211"/>
      <c r="BP35" s="211"/>
      <c r="BQ35" s="211"/>
      <c r="BR35" s="211"/>
      <c r="BS35" s="211"/>
      <c r="BT35" s="211"/>
      <c r="BU35" s="211"/>
      <c r="BV35" s="211"/>
      <c r="BW35" s="211"/>
      <c r="BX35" s="211"/>
      <c r="BY35" s="211"/>
      <c r="BZ35" s="211"/>
      <c r="CA35" s="211"/>
      <c r="CB35" s="211"/>
      <c r="CC35" s="211"/>
      <c r="CD35" s="211"/>
      <c r="CE35" s="211"/>
      <c r="CF35" s="211"/>
      <c r="CG35" s="211"/>
      <c r="CH35" s="211"/>
      <c r="CI35" s="211"/>
      <c r="CJ35" s="211"/>
      <c r="CK35" s="211"/>
      <c r="CL35" s="211"/>
      <c r="CM35" s="211"/>
      <c r="CN35" s="211"/>
      <c r="CO35" s="211"/>
      <c r="CP35" s="211"/>
      <c r="CQ35" s="211"/>
      <c r="CR35" s="211"/>
      <c r="CS35" s="211"/>
      <c r="CT35" s="211"/>
      <c r="CU35" s="43"/>
    </row>
    <row r="36" spans="1:99" x14ac:dyDescent="0.25">
      <c r="A36" s="576" t="s">
        <v>122</v>
      </c>
      <c r="B36" s="576"/>
      <c r="C36" s="576"/>
      <c r="D36" s="576"/>
      <c r="E36" s="576"/>
      <c r="F36" s="576"/>
      <c r="G36" s="576"/>
      <c r="H36" s="576"/>
      <c r="I36" s="576"/>
      <c r="J36" s="576"/>
      <c r="K36" s="576"/>
      <c r="L36" s="576"/>
      <c r="M36" s="576"/>
      <c r="N36" s="568"/>
      <c r="O36" s="568"/>
      <c r="P36" s="568"/>
      <c r="Q36" s="568"/>
      <c r="R36" s="568"/>
      <c r="S36" s="568"/>
      <c r="T36" s="568"/>
      <c r="U36" s="568"/>
      <c r="V36" s="568"/>
      <c r="W36" s="568"/>
      <c r="X36" s="204"/>
      <c r="Y36" s="204"/>
      <c r="Z36" s="568" t="s">
        <v>541</v>
      </c>
      <c r="AA36" s="568"/>
      <c r="AB36" s="568"/>
      <c r="AC36" s="568"/>
      <c r="AD36" s="568"/>
      <c r="AE36" s="568"/>
      <c r="AF36" s="568"/>
      <c r="AG36" s="568"/>
      <c r="AH36" s="568"/>
      <c r="AI36" s="568"/>
      <c r="AJ36" s="568"/>
      <c r="AK36" s="568"/>
      <c r="AL36" s="204"/>
      <c r="AM36" s="204"/>
      <c r="AN36" s="204"/>
      <c r="AO36" s="204"/>
      <c r="AP36" s="204"/>
      <c r="AQ36" s="204"/>
      <c r="AR36" s="204"/>
      <c r="AS36" s="204"/>
      <c r="AT36" s="204"/>
      <c r="AU36" s="204"/>
      <c r="AV36" s="204"/>
      <c r="AW36" s="204"/>
      <c r="AX36" s="204"/>
      <c r="AY36" s="204"/>
      <c r="AZ36" s="204"/>
      <c r="BA36" s="204"/>
      <c r="BB36" s="204"/>
      <c r="BC36" s="204"/>
      <c r="BD36" s="204"/>
      <c r="BE36" s="204"/>
      <c r="BF36" s="204"/>
      <c r="BG36" s="204"/>
      <c r="BH36" s="204"/>
      <c r="BI36" s="204"/>
      <c r="BJ36" s="204"/>
      <c r="BK36" s="204"/>
      <c r="BL36" s="204"/>
      <c r="BM36" s="612"/>
      <c r="BN36" s="204"/>
      <c r="BO36" s="204"/>
      <c r="BP36" s="207" t="s">
        <v>123</v>
      </c>
      <c r="BQ36" s="204"/>
      <c r="BR36" s="204"/>
      <c r="BS36" s="204"/>
      <c r="BT36" s="204"/>
      <c r="BU36" s="568"/>
      <c r="BV36" s="568"/>
      <c r="BW36" s="568"/>
      <c r="BX36" s="568"/>
      <c r="BY36" s="568"/>
      <c r="BZ36" s="568"/>
      <c r="CA36" s="568"/>
      <c r="CB36" s="568"/>
      <c r="CC36" s="568"/>
      <c r="CD36" s="568"/>
      <c r="CE36" s="204"/>
      <c r="CF36" s="204"/>
      <c r="CG36" s="568" t="str">
        <f>Z36</f>
        <v>Купрей А. А.</v>
      </c>
      <c r="CH36" s="568"/>
      <c r="CI36" s="568"/>
      <c r="CJ36" s="568"/>
      <c r="CK36" s="568"/>
      <c r="CL36" s="568"/>
      <c r="CM36" s="568"/>
      <c r="CN36" s="568"/>
      <c r="CO36" s="568"/>
      <c r="CP36" s="568"/>
      <c r="CQ36" s="568"/>
      <c r="CR36" s="568"/>
      <c r="CS36" s="204"/>
      <c r="CT36" s="204"/>
      <c r="CU36" s="40"/>
    </row>
    <row r="37" spans="1:99" s="34" customFormat="1" ht="15" customHeight="1" x14ac:dyDescent="0.25">
      <c r="A37" s="205"/>
      <c r="B37" s="205"/>
      <c r="C37" s="205"/>
      <c r="D37" s="205"/>
      <c r="E37" s="205"/>
      <c r="F37" s="205"/>
      <c r="G37" s="205"/>
      <c r="H37" s="205"/>
      <c r="I37" s="205"/>
      <c r="J37" s="205"/>
      <c r="K37" s="205"/>
      <c r="L37" s="205"/>
      <c r="M37" s="205"/>
      <c r="N37" s="586" t="s">
        <v>63</v>
      </c>
      <c r="O37" s="586"/>
      <c r="P37" s="586"/>
      <c r="Q37" s="586"/>
      <c r="R37" s="586"/>
      <c r="S37" s="586"/>
      <c r="T37" s="586"/>
      <c r="U37" s="586"/>
      <c r="V37" s="586"/>
      <c r="W37" s="586"/>
      <c r="X37" s="205"/>
      <c r="Y37" s="205"/>
      <c r="Z37" s="567" t="s">
        <v>121</v>
      </c>
      <c r="AA37" s="567"/>
      <c r="AB37" s="567"/>
      <c r="AC37" s="567"/>
      <c r="AD37" s="567"/>
      <c r="AE37" s="567"/>
      <c r="AF37" s="567"/>
      <c r="AG37" s="567"/>
      <c r="AH37" s="567"/>
      <c r="AI37" s="567"/>
      <c r="AJ37" s="567"/>
      <c r="AK37" s="567"/>
      <c r="AL37" s="205"/>
      <c r="AM37" s="205"/>
      <c r="AN37" s="205"/>
      <c r="AO37" s="205"/>
      <c r="AP37" s="205"/>
      <c r="AQ37" s="205"/>
      <c r="AR37" s="205"/>
      <c r="AS37" s="205"/>
      <c r="AT37" s="205"/>
      <c r="AU37" s="205"/>
      <c r="AV37" s="205"/>
      <c r="AW37" s="205"/>
      <c r="AX37" s="205"/>
      <c r="AY37" s="205"/>
      <c r="AZ37" s="205"/>
      <c r="BA37" s="205"/>
      <c r="BB37" s="205"/>
      <c r="BC37" s="205"/>
      <c r="BD37" s="205"/>
      <c r="BE37" s="205"/>
      <c r="BF37" s="205"/>
      <c r="BG37" s="205"/>
      <c r="BH37" s="205"/>
      <c r="BI37" s="205"/>
      <c r="BJ37" s="205"/>
      <c r="BK37" s="205"/>
      <c r="BL37" s="205"/>
      <c r="BM37" s="612"/>
      <c r="BN37" s="205"/>
      <c r="BO37" s="205"/>
      <c r="BP37" s="205"/>
      <c r="BQ37" s="205"/>
      <c r="BR37" s="205"/>
      <c r="BS37" s="205"/>
      <c r="BT37" s="205"/>
      <c r="BU37" s="586" t="s">
        <v>63</v>
      </c>
      <c r="BV37" s="586"/>
      <c r="BW37" s="586"/>
      <c r="BX37" s="586"/>
      <c r="BY37" s="586"/>
      <c r="BZ37" s="586"/>
      <c r="CA37" s="586"/>
      <c r="CB37" s="586"/>
      <c r="CC37" s="586"/>
      <c r="CD37" s="586"/>
      <c r="CE37" s="205"/>
      <c r="CF37" s="205"/>
      <c r="CG37" s="567" t="s">
        <v>121</v>
      </c>
      <c r="CH37" s="567"/>
      <c r="CI37" s="567"/>
      <c r="CJ37" s="567"/>
      <c r="CK37" s="567"/>
      <c r="CL37" s="567"/>
      <c r="CM37" s="567"/>
      <c r="CN37" s="567"/>
      <c r="CO37" s="567"/>
      <c r="CP37" s="567"/>
      <c r="CQ37" s="567"/>
      <c r="CR37" s="567"/>
      <c r="CS37" s="205"/>
      <c r="CT37" s="205"/>
      <c r="CU37" s="41"/>
    </row>
    <row r="38" spans="1:99" ht="15.75" thickBot="1" x14ac:dyDescent="0.3">
      <c r="A38" s="212"/>
      <c r="B38" s="212"/>
      <c r="C38" s="212"/>
      <c r="D38" s="212"/>
      <c r="E38" s="212"/>
      <c r="F38" s="212"/>
      <c r="G38" s="212"/>
      <c r="H38" s="212"/>
      <c r="I38" s="212"/>
      <c r="J38" s="212"/>
      <c r="K38" s="212"/>
      <c r="L38" s="212"/>
      <c r="M38" s="212"/>
      <c r="N38" s="212"/>
      <c r="O38" s="212"/>
      <c r="P38" s="212"/>
      <c r="Q38" s="212"/>
      <c r="R38" s="212"/>
      <c r="S38" s="212"/>
      <c r="T38" s="212"/>
      <c r="U38" s="212"/>
      <c r="V38" s="212"/>
      <c r="W38" s="212"/>
      <c r="X38" s="212"/>
      <c r="Y38" s="212"/>
      <c r="Z38" s="212"/>
      <c r="AA38" s="212"/>
      <c r="AB38" s="212"/>
      <c r="AC38" s="212"/>
      <c r="AD38" s="212"/>
      <c r="AE38" s="212"/>
      <c r="AF38" s="212"/>
      <c r="AG38" s="212"/>
      <c r="AH38" s="212"/>
      <c r="AI38" s="212"/>
      <c r="AJ38" s="212"/>
      <c r="AK38" s="212"/>
      <c r="AL38" s="212"/>
      <c r="AM38" s="212"/>
      <c r="AN38" s="212"/>
      <c r="AO38" s="212"/>
      <c r="AP38" s="212"/>
      <c r="AQ38" s="212"/>
      <c r="AR38" s="212"/>
      <c r="AS38" s="212"/>
      <c r="AT38" s="212"/>
      <c r="AU38" s="212"/>
      <c r="AV38" s="212"/>
      <c r="AW38" s="212"/>
      <c r="AX38" s="212"/>
      <c r="AY38" s="212"/>
      <c r="AZ38" s="212"/>
      <c r="BA38" s="212"/>
      <c r="BB38" s="212"/>
      <c r="BC38" s="212"/>
      <c r="BD38" s="212"/>
      <c r="BE38" s="212"/>
      <c r="BF38" s="212"/>
      <c r="BG38" s="212"/>
      <c r="BH38" s="212"/>
      <c r="BI38" s="212"/>
      <c r="BJ38" s="212"/>
      <c r="BK38" s="212"/>
      <c r="BL38" s="212"/>
      <c r="BM38" s="613"/>
      <c r="BN38" s="212"/>
      <c r="BO38" s="212"/>
      <c r="BP38" s="212"/>
      <c r="BQ38" s="212"/>
      <c r="BR38" s="212"/>
      <c r="BS38" s="212"/>
      <c r="BT38" s="212"/>
      <c r="BU38" s="212"/>
      <c r="BV38" s="212"/>
      <c r="BW38" s="212"/>
      <c r="BX38" s="212"/>
      <c r="BY38" s="212"/>
      <c r="BZ38" s="212"/>
      <c r="CA38" s="212"/>
      <c r="CB38" s="212"/>
      <c r="CC38" s="212"/>
      <c r="CD38" s="212"/>
      <c r="CE38" s="212"/>
      <c r="CF38" s="212"/>
      <c r="CG38" s="212"/>
      <c r="CH38" s="212"/>
      <c r="CI38" s="212"/>
      <c r="CJ38" s="212"/>
      <c r="CK38" s="212"/>
      <c r="CL38" s="212"/>
      <c r="CM38" s="212"/>
      <c r="CN38" s="212"/>
      <c r="CO38" s="212"/>
      <c r="CP38" s="212"/>
      <c r="CQ38" s="212"/>
      <c r="CR38" s="212"/>
      <c r="CS38" s="212"/>
      <c r="CT38" s="212"/>
      <c r="CU38" s="40"/>
    </row>
  </sheetData>
  <mergeCells count="122">
    <mergeCell ref="A26:BK26"/>
    <mergeCell ref="A20:F20"/>
    <mergeCell ref="G20:K20"/>
    <mergeCell ref="L20:T20"/>
    <mergeCell ref="AJ13:BA14"/>
    <mergeCell ref="A14:AI14"/>
    <mergeCell ref="AU15:AY15"/>
    <mergeCell ref="AQ15:AT15"/>
    <mergeCell ref="AN15:AP15"/>
    <mergeCell ref="AJ15:AM15"/>
    <mergeCell ref="BB13:BK13"/>
    <mergeCell ref="A18:F18"/>
    <mergeCell ref="G18:K18"/>
    <mergeCell ref="L18:T18"/>
    <mergeCell ref="U18:AC18"/>
    <mergeCell ref="AD18:AL18"/>
    <mergeCell ref="I25:AH25"/>
    <mergeCell ref="AI25:BK25"/>
    <mergeCell ref="U20:AC20"/>
    <mergeCell ref="AD20:AL20"/>
    <mergeCell ref="AM20:AV20"/>
    <mergeCell ref="AW20:BE20"/>
    <mergeCell ref="BF20:BK20"/>
    <mergeCell ref="BX27:CT27"/>
    <mergeCell ref="AW21:BE21"/>
    <mergeCell ref="BF21:BK21"/>
    <mergeCell ref="BP18:CT18"/>
    <mergeCell ref="BM1:BM38"/>
    <mergeCell ref="AR3:BD3"/>
    <mergeCell ref="A11:AX11"/>
    <mergeCell ref="BS12:BT12"/>
    <mergeCell ref="BV12:CE12"/>
    <mergeCell ref="A36:M36"/>
    <mergeCell ref="A33:N33"/>
    <mergeCell ref="BT29:CC29"/>
    <mergeCell ref="CE29:CH29"/>
    <mergeCell ref="BN31:CD31"/>
    <mergeCell ref="A30:J30"/>
    <mergeCell ref="A31:J31"/>
    <mergeCell ref="L30:BK30"/>
    <mergeCell ref="L31:BK31"/>
    <mergeCell ref="W2:BL2"/>
    <mergeCell ref="A17:F17"/>
    <mergeCell ref="G17:AL17"/>
    <mergeCell ref="AM17:AV17"/>
    <mergeCell ref="A23:H24"/>
    <mergeCell ref="I23:BK24"/>
    <mergeCell ref="AZ9:BK10"/>
    <mergeCell ref="A10:AX10"/>
    <mergeCell ref="AW17:BE17"/>
    <mergeCell ref="BF17:BK17"/>
    <mergeCell ref="BB14:BK14"/>
    <mergeCell ref="BB15:BK15"/>
    <mergeCell ref="BP19:CT19"/>
    <mergeCell ref="CG12:CJ12"/>
    <mergeCell ref="AM18:AV18"/>
    <mergeCell ref="BP16:BV16"/>
    <mergeCell ref="BP17:CT17"/>
    <mergeCell ref="BX14:CT14"/>
    <mergeCell ref="BP15:CT15"/>
    <mergeCell ref="AM19:AV19"/>
    <mergeCell ref="BF19:BK19"/>
    <mergeCell ref="AW19:BE19"/>
    <mergeCell ref="AZ15:BA15"/>
    <mergeCell ref="BP1:CT1"/>
    <mergeCell ref="BP2:CT2"/>
    <mergeCell ref="CJ10:CK10"/>
    <mergeCell ref="BP3:CT3"/>
    <mergeCell ref="BP4:CT4"/>
    <mergeCell ref="BP6:CT7"/>
    <mergeCell ref="BN10:CF10"/>
    <mergeCell ref="CG10:CI10"/>
    <mergeCell ref="CL10:CO10"/>
    <mergeCell ref="CP10:CS10"/>
    <mergeCell ref="AZ7:BK7"/>
    <mergeCell ref="AW18:BE18"/>
    <mergeCell ref="BF18:BK18"/>
    <mergeCell ref="A8:AQ8"/>
    <mergeCell ref="AZ8:BK8"/>
    <mergeCell ref="A9:AQ9"/>
    <mergeCell ref="BW16:CT16"/>
    <mergeCell ref="N37:W37"/>
    <mergeCell ref="Z37:AK37"/>
    <mergeCell ref="BU37:CD37"/>
    <mergeCell ref="Z33:AK33"/>
    <mergeCell ref="CB33:CI33"/>
    <mergeCell ref="CG37:CR37"/>
    <mergeCell ref="N34:W34"/>
    <mergeCell ref="Z34:AK34"/>
    <mergeCell ref="CB34:CI34"/>
    <mergeCell ref="CK34:CT34"/>
    <mergeCell ref="N36:W36"/>
    <mergeCell ref="Z36:AK36"/>
    <mergeCell ref="BU36:CD36"/>
    <mergeCell ref="CG36:CR36"/>
    <mergeCell ref="CK33:CT33"/>
    <mergeCell ref="BN33:CA33"/>
    <mergeCell ref="F27:BK27"/>
    <mergeCell ref="AP1:BL1"/>
    <mergeCell ref="BU21:CL21"/>
    <mergeCell ref="CM21:CN21"/>
    <mergeCell ref="BU22:CL22"/>
    <mergeCell ref="F28:BK28"/>
    <mergeCell ref="A29:AQ29"/>
    <mergeCell ref="AU29:BH29"/>
    <mergeCell ref="BQ29:BR29"/>
    <mergeCell ref="A21:F21"/>
    <mergeCell ref="G21:K21"/>
    <mergeCell ref="L21:T21"/>
    <mergeCell ref="U21:AC21"/>
    <mergeCell ref="AD21:AL21"/>
    <mergeCell ref="AM21:AV21"/>
    <mergeCell ref="BN23:CT25"/>
    <mergeCell ref="BN26:CT26"/>
    <mergeCell ref="CO21:CT21"/>
    <mergeCell ref="A25:H25"/>
    <mergeCell ref="A19:F19"/>
    <mergeCell ref="G19:K19"/>
    <mergeCell ref="L19:T19"/>
    <mergeCell ref="U19:AC19"/>
    <mergeCell ref="AD19:AL19"/>
    <mergeCell ref="AZ6:BK6"/>
  </mergeCells>
  <pageMargins left="7.874015748031496E-2" right="7.874015748031496E-2" top="0.23622047244094491" bottom="0.27559055118110237" header="0.23622047244094491" footer="0.31496062992125984"/>
  <pageSetup paperSize="9" scale="69" fitToWidth="0" fitToHeight="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44440-45FA-4F00-AE0E-2F53F68B14B2}">
  <sheetPr>
    <pageSetUpPr fitToPage="1"/>
  </sheetPr>
  <dimension ref="A1:DK35"/>
  <sheetViews>
    <sheetView zoomScale="150" zoomScaleNormal="150" workbookViewId="0">
      <selection activeCell="D31" sqref="D31:DJ31"/>
    </sheetView>
  </sheetViews>
  <sheetFormatPr defaultColWidth="0.85546875" defaultRowHeight="11.25" x14ac:dyDescent="0.2"/>
  <cols>
    <col min="1" max="16384" width="0.85546875" style="198"/>
  </cols>
  <sheetData>
    <row r="1" spans="1:115" x14ac:dyDescent="0.2">
      <c r="A1" s="214"/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4"/>
      <c r="AD1" s="214"/>
      <c r="AE1" s="214"/>
      <c r="AF1" s="214"/>
      <c r="AG1" s="214"/>
      <c r="AH1" s="214"/>
      <c r="AI1" s="214"/>
      <c r="AJ1" s="214"/>
      <c r="AK1" s="214"/>
      <c r="AL1" s="214"/>
      <c r="AM1" s="214"/>
      <c r="AN1" s="214"/>
      <c r="AO1" s="214"/>
      <c r="AP1" s="214"/>
      <c r="AQ1" s="214"/>
      <c r="AR1" s="214"/>
      <c r="AS1" s="214"/>
      <c r="AT1" s="214"/>
      <c r="AU1" s="214"/>
      <c r="AV1" s="214"/>
      <c r="AW1" s="214"/>
      <c r="AX1" s="214"/>
      <c r="AY1" s="214"/>
      <c r="AZ1" s="214"/>
      <c r="BA1" s="214"/>
      <c r="BB1" s="214"/>
      <c r="BC1" s="214"/>
      <c r="BD1" s="214"/>
      <c r="BE1" s="214"/>
      <c r="BF1" s="214"/>
      <c r="BG1" s="214"/>
      <c r="BH1" s="214"/>
      <c r="BI1" s="214"/>
      <c r="BJ1" s="214"/>
      <c r="BK1" s="214"/>
      <c r="BL1" s="214"/>
      <c r="BM1" s="624" t="s">
        <v>618</v>
      </c>
      <c r="BN1" s="624"/>
      <c r="BO1" s="624"/>
      <c r="BP1" s="624"/>
      <c r="BQ1" s="624"/>
      <c r="BR1" s="624"/>
      <c r="BS1" s="624"/>
      <c r="BT1" s="624"/>
      <c r="BU1" s="624"/>
      <c r="BV1" s="624"/>
      <c r="BW1" s="624"/>
      <c r="BX1" s="624"/>
      <c r="BY1" s="624"/>
      <c r="BZ1" s="624"/>
      <c r="CA1" s="624"/>
      <c r="CB1" s="624"/>
      <c r="CC1" s="624"/>
      <c r="CD1" s="624"/>
      <c r="CE1" s="624"/>
      <c r="CF1" s="624"/>
      <c r="CG1" s="624"/>
      <c r="CH1" s="624"/>
      <c r="CI1" s="624"/>
      <c r="CJ1" s="624"/>
      <c r="CK1" s="624"/>
      <c r="CL1" s="624"/>
      <c r="CM1" s="624"/>
      <c r="CN1" s="624"/>
      <c r="CO1" s="624"/>
      <c r="CP1" s="624"/>
      <c r="CQ1" s="624"/>
      <c r="CR1" s="624"/>
      <c r="CS1" s="624"/>
      <c r="CT1" s="624"/>
      <c r="CU1" s="624"/>
      <c r="CV1" s="624"/>
      <c r="CW1" s="624"/>
      <c r="CX1" s="624"/>
      <c r="CY1" s="624"/>
      <c r="CZ1" s="624"/>
      <c r="DA1" s="624"/>
      <c r="DB1" s="624"/>
      <c r="DC1" s="624"/>
      <c r="DD1" s="624"/>
      <c r="DE1" s="624"/>
      <c r="DF1" s="624"/>
      <c r="DG1" s="624"/>
      <c r="DH1" s="624"/>
      <c r="DI1" s="624"/>
      <c r="DJ1" s="624"/>
      <c r="DK1" s="215"/>
    </row>
    <row r="2" spans="1:115" ht="15" customHeight="1" x14ac:dyDescent="0.2">
      <c r="A2" s="214"/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4"/>
      <c r="AI2" s="214"/>
      <c r="AJ2" s="214"/>
      <c r="AK2" s="214"/>
      <c r="AL2" s="214"/>
      <c r="AM2" s="214"/>
      <c r="AN2" s="214"/>
      <c r="AO2" s="214"/>
      <c r="AP2" s="214"/>
      <c r="AQ2" s="214"/>
      <c r="AR2" s="214"/>
      <c r="AS2" s="214"/>
      <c r="AT2" s="214"/>
      <c r="AU2" s="214"/>
      <c r="AV2" s="624" t="s">
        <v>642</v>
      </c>
      <c r="AW2" s="624"/>
      <c r="AX2" s="624"/>
      <c r="AY2" s="624"/>
      <c r="AZ2" s="624"/>
      <c r="BA2" s="624"/>
      <c r="BB2" s="624"/>
      <c r="BC2" s="624"/>
      <c r="BD2" s="624"/>
      <c r="BE2" s="624"/>
      <c r="BF2" s="624"/>
      <c r="BG2" s="624"/>
      <c r="BH2" s="624"/>
      <c r="BI2" s="624"/>
      <c r="BJ2" s="624"/>
      <c r="BK2" s="624"/>
      <c r="BL2" s="624"/>
      <c r="BM2" s="624"/>
      <c r="BN2" s="624"/>
      <c r="BO2" s="624"/>
      <c r="BP2" s="624"/>
      <c r="BQ2" s="624"/>
      <c r="BR2" s="624"/>
      <c r="BS2" s="624"/>
      <c r="BT2" s="624"/>
      <c r="BU2" s="624"/>
      <c r="BV2" s="624"/>
      <c r="BW2" s="624"/>
      <c r="BX2" s="624"/>
      <c r="BY2" s="624"/>
      <c r="BZ2" s="624"/>
      <c r="CA2" s="624"/>
      <c r="CB2" s="624"/>
      <c r="CC2" s="624"/>
      <c r="CD2" s="624"/>
      <c r="CE2" s="624"/>
      <c r="CF2" s="624"/>
      <c r="CG2" s="624"/>
      <c r="CH2" s="624"/>
      <c r="CI2" s="624"/>
      <c r="CJ2" s="624"/>
      <c r="CK2" s="624"/>
      <c r="CL2" s="624"/>
      <c r="CM2" s="624"/>
      <c r="CN2" s="624"/>
      <c r="CO2" s="624"/>
      <c r="CP2" s="624"/>
      <c r="CQ2" s="624"/>
      <c r="CR2" s="624"/>
      <c r="CS2" s="624"/>
      <c r="CT2" s="624"/>
      <c r="CU2" s="624"/>
      <c r="CV2" s="624"/>
      <c r="CW2" s="624"/>
      <c r="CX2" s="624"/>
      <c r="CY2" s="624"/>
      <c r="CZ2" s="624"/>
      <c r="DA2" s="624"/>
      <c r="DB2" s="624"/>
      <c r="DC2" s="624"/>
      <c r="DD2" s="624"/>
      <c r="DE2" s="624"/>
      <c r="DF2" s="624"/>
      <c r="DG2" s="624"/>
      <c r="DH2" s="624"/>
      <c r="DI2" s="624"/>
      <c r="DJ2" s="624"/>
      <c r="DK2" s="215"/>
    </row>
    <row r="3" spans="1:115" x14ac:dyDescent="0.2">
      <c r="A3" s="214"/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4"/>
      <c r="W3" s="214"/>
      <c r="X3" s="214"/>
      <c r="Y3" s="214"/>
      <c r="Z3" s="214"/>
      <c r="AA3" s="214"/>
      <c r="AB3" s="214"/>
      <c r="AC3" s="214"/>
      <c r="AD3" s="214"/>
      <c r="AE3" s="214"/>
      <c r="AF3" s="214"/>
      <c r="AG3" s="214"/>
      <c r="AH3" s="214"/>
      <c r="AI3" s="214"/>
      <c r="AJ3" s="214"/>
      <c r="AK3" s="214"/>
      <c r="AL3" s="214"/>
      <c r="AM3" s="214"/>
      <c r="AN3" s="214"/>
      <c r="AO3" s="214"/>
      <c r="AP3" s="214"/>
      <c r="AQ3" s="214"/>
      <c r="AR3" s="214"/>
      <c r="AS3" s="214"/>
      <c r="AT3" s="214"/>
      <c r="AU3" s="214"/>
      <c r="AV3" s="214"/>
      <c r="AW3" s="214"/>
      <c r="AX3" s="214"/>
      <c r="AY3" s="214"/>
      <c r="AZ3" s="214"/>
      <c r="BA3" s="214"/>
      <c r="BB3" s="214"/>
      <c r="BC3" s="214"/>
      <c r="BD3" s="214"/>
      <c r="BE3" s="214"/>
      <c r="BF3" s="214"/>
      <c r="BG3" s="214"/>
      <c r="BH3" s="214"/>
      <c r="BI3" s="214"/>
      <c r="BJ3" s="214"/>
      <c r="BK3" s="214"/>
      <c r="BL3" s="214"/>
      <c r="BM3" s="214"/>
      <c r="BN3" s="214"/>
      <c r="BO3" s="214"/>
      <c r="BP3" s="214"/>
      <c r="BQ3" s="214"/>
      <c r="BR3" s="214"/>
      <c r="BS3" s="214"/>
      <c r="BT3" s="214"/>
      <c r="BU3" s="214"/>
      <c r="BV3" s="214"/>
      <c r="BW3" s="214"/>
      <c r="BX3" s="214"/>
      <c r="BY3" s="214"/>
      <c r="BZ3" s="214"/>
      <c r="CA3" s="214"/>
      <c r="CB3" s="214"/>
      <c r="CC3" s="214"/>
      <c r="CD3" s="214"/>
      <c r="CE3" s="214"/>
      <c r="CF3" s="214"/>
      <c r="CG3" s="214"/>
      <c r="CH3" s="214"/>
      <c r="CI3" s="214"/>
      <c r="CJ3" s="214"/>
      <c r="CK3" s="214"/>
      <c r="CL3" s="214"/>
      <c r="CM3" s="214"/>
      <c r="CN3" s="214"/>
      <c r="CO3" s="214"/>
      <c r="CP3" s="214"/>
      <c r="CQ3" s="214"/>
      <c r="CR3" s="214"/>
      <c r="CS3" s="214"/>
      <c r="CT3" s="214"/>
      <c r="CU3" s="214"/>
      <c r="CV3" s="214"/>
      <c r="CW3" s="214"/>
      <c r="CX3" s="214"/>
      <c r="CY3" s="214"/>
      <c r="CZ3" s="214"/>
      <c r="DA3" s="214"/>
      <c r="DB3" s="214"/>
      <c r="DC3" s="214"/>
      <c r="DD3" s="214"/>
      <c r="DE3" s="214"/>
      <c r="DF3" s="214"/>
      <c r="DG3" s="214"/>
      <c r="DH3" s="214"/>
      <c r="DI3" s="214"/>
      <c r="DJ3" s="214"/>
      <c r="DK3" s="215"/>
    </row>
    <row r="4" spans="1:115" ht="12" thickBot="1" x14ac:dyDescent="0.25">
      <c r="A4" s="214"/>
      <c r="B4" s="214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4"/>
      <c r="O4" s="214"/>
      <c r="P4" s="214"/>
      <c r="Q4" s="214"/>
      <c r="R4" s="214"/>
      <c r="S4" s="214"/>
      <c r="T4" s="214"/>
      <c r="U4" s="214"/>
      <c r="V4" s="214"/>
      <c r="W4" s="214"/>
      <c r="X4" s="214"/>
      <c r="Y4" s="214"/>
      <c r="Z4" s="214"/>
      <c r="AA4" s="214"/>
      <c r="AB4" s="214"/>
      <c r="AC4" s="214"/>
      <c r="AD4" s="214"/>
      <c r="AE4" s="214"/>
      <c r="AF4" s="214"/>
      <c r="AG4" s="214"/>
      <c r="AH4" s="214"/>
      <c r="AI4" s="214"/>
      <c r="AJ4" s="214"/>
      <c r="AK4" s="214"/>
      <c r="AL4" s="214"/>
      <c r="AM4" s="214"/>
      <c r="AN4" s="214"/>
      <c r="AO4" s="214"/>
      <c r="AP4" s="214"/>
      <c r="AQ4" s="214"/>
      <c r="AR4" s="214"/>
      <c r="AS4" s="214"/>
      <c r="AT4" s="214"/>
      <c r="AU4" s="214"/>
      <c r="AV4" s="214"/>
      <c r="AW4" s="214"/>
      <c r="AX4" s="214"/>
      <c r="AY4" s="214"/>
      <c r="AZ4" s="214"/>
      <c r="BA4" s="214"/>
      <c r="BB4" s="214"/>
      <c r="BC4" s="214"/>
      <c r="BD4" s="214"/>
      <c r="BE4" s="214"/>
      <c r="BF4" s="214"/>
      <c r="BG4" s="214"/>
      <c r="BH4" s="214"/>
      <c r="BI4" s="214"/>
      <c r="BJ4" s="214"/>
      <c r="BK4" s="214"/>
      <c r="BL4" s="214"/>
      <c r="BM4" s="214"/>
      <c r="BN4" s="214"/>
      <c r="BO4" s="214"/>
      <c r="BP4" s="214"/>
      <c r="BQ4" s="214"/>
      <c r="BR4" s="214"/>
      <c r="BS4" s="214"/>
      <c r="BT4" s="214"/>
      <c r="BU4" s="214"/>
      <c r="BV4" s="214"/>
      <c r="BW4" s="214"/>
      <c r="BX4" s="214"/>
      <c r="BY4" s="214"/>
      <c r="BZ4" s="214"/>
      <c r="CA4" s="214"/>
      <c r="CB4" s="214"/>
      <c r="CC4" s="214"/>
      <c r="CD4" s="214"/>
      <c r="CE4" s="214"/>
      <c r="CF4" s="214"/>
      <c r="CG4" s="214"/>
      <c r="CH4" s="214"/>
      <c r="CI4" s="214"/>
      <c r="CJ4" s="214"/>
      <c r="CK4" s="214"/>
      <c r="CL4" s="214"/>
      <c r="CM4" s="214"/>
      <c r="CN4" s="214"/>
      <c r="CO4" s="214"/>
      <c r="CP4" s="214"/>
      <c r="CQ4" s="214"/>
      <c r="CR4" s="214"/>
      <c r="CS4" s="214"/>
      <c r="CT4" s="630" t="s">
        <v>87</v>
      </c>
      <c r="CU4" s="631"/>
      <c r="CV4" s="631"/>
      <c r="CW4" s="631"/>
      <c r="CX4" s="631"/>
      <c r="CY4" s="631"/>
      <c r="CZ4" s="631"/>
      <c r="DA4" s="631"/>
      <c r="DB4" s="631"/>
      <c r="DC4" s="631"/>
      <c r="DD4" s="631"/>
      <c r="DE4" s="631"/>
      <c r="DF4" s="631"/>
      <c r="DG4" s="631"/>
      <c r="DH4" s="631"/>
      <c r="DI4" s="631"/>
      <c r="DJ4" s="632"/>
      <c r="DK4" s="215"/>
    </row>
    <row r="5" spans="1:115" x14ac:dyDescent="0.2">
      <c r="A5" s="214"/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4"/>
      <c r="X5" s="214"/>
      <c r="Y5" s="214"/>
      <c r="Z5" s="214"/>
      <c r="AA5" s="214"/>
      <c r="AB5" s="214"/>
      <c r="AC5" s="214"/>
      <c r="AD5" s="214"/>
      <c r="AE5" s="214"/>
      <c r="AF5" s="214"/>
      <c r="AG5" s="214"/>
      <c r="AH5" s="214"/>
      <c r="AI5" s="214"/>
      <c r="AJ5" s="214"/>
      <c r="AK5" s="214"/>
      <c r="AL5" s="214"/>
      <c r="AM5" s="214"/>
      <c r="AN5" s="214"/>
      <c r="AO5" s="214"/>
      <c r="AP5" s="214"/>
      <c r="AQ5" s="214"/>
      <c r="AR5" s="214"/>
      <c r="AS5" s="214"/>
      <c r="AT5" s="214"/>
      <c r="AU5" s="214"/>
      <c r="AV5" s="214"/>
      <c r="AW5" s="214"/>
      <c r="AX5" s="214"/>
      <c r="AY5" s="214"/>
      <c r="AZ5" s="214"/>
      <c r="BA5" s="214"/>
      <c r="BB5" s="214"/>
      <c r="BC5" s="214"/>
      <c r="BD5" s="214"/>
      <c r="BE5" s="214"/>
      <c r="BF5" s="214"/>
      <c r="BG5" s="214"/>
      <c r="BH5" s="214"/>
      <c r="BI5" s="214"/>
      <c r="BJ5" s="214"/>
      <c r="BK5" s="214"/>
      <c r="BL5" s="214"/>
      <c r="BM5" s="214"/>
      <c r="BN5" s="214"/>
      <c r="BO5" s="214"/>
      <c r="BP5" s="214"/>
      <c r="BQ5" s="214"/>
      <c r="BR5" s="214"/>
      <c r="BS5" s="214"/>
      <c r="BT5" s="214"/>
      <c r="BU5" s="214"/>
      <c r="BV5" s="214"/>
      <c r="BW5" s="214"/>
      <c r="BX5" s="214"/>
      <c r="BY5" s="214"/>
      <c r="BZ5" s="214"/>
      <c r="CA5" s="214"/>
      <c r="CB5" s="214"/>
      <c r="CC5" s="214"/>
      <c r="CD5" s="214"/>
      <c r="CE5" s="214"/>
      <c r="CF5" s="214"/>
      <c r="CG5" s="214"/>
      <c r="CH5" s="214"/>
      <c r="CI5" s="214"/>
      <c r="CJ5" s="214"/>
      <c r="CK5" s="214"/>
      <c r="CL5" s="214"/>
      <c r="CM5" s="214"/>
      <c r="CN5" s="214"/>
      <c r="CO5" s="214"/>
      <c r="CP5" s="214"/>
      <c r="CQ5" s="213" t="s">
        <v>89</v>
      </c>
      <c r="CR5" s="214"/>
      <c r="CS5" s="214"/>
      <c r="CT5" s="633" t="s">
        <v>617</v>
      </c>
      <c r="CU5" s="634"/>
      <c r="CV5" s="634"/>
      <c r="CW5" s="634"/>
      <c r="CX5" s="634"/>
      <c r="CY5" s="634"/>
      <c r="CZ5" s="634"/>
      <c r="DA5" s="634"/>
      <c r="DB5" s="634"/>
      <c r="DC5" s="634"/>
      <c r="DD5" s="634"/>
      <c r="DE5" s="634"/>
      <c r="DF5" s="634"/>
      <c r="DG5" s="634"/>
      <c r="DH5" s="634"/>
      <c r="DI5" s="634"/>
      <c r="DJ5" s="635"/>
      <c r="DK5" s="215"/>
    </row>
    <row r="6" spans="1:115" x14ac:dyDescent="0.2">
      <c r="A6" s="625" t="str">
        <f>ПКО!A8</f>
        <v>Зинченко Михаил Александрович</v>
      </c>
      <c r="B6" s="625"/>
      <c r="C6" s="625"/>
      <c r="D6" s="625"/>
      <c r="E6" s="625"/>
      <c r="F6" s="625"/>
      <c r="G6" s="625"/>
      <c r="H6" s="625"/>
      <c r="I6" s="625"/>
      <c r="J6" s="625"/>
      <c r="K6" s="625"/>
      <c r="L6" s="625"/>
      <c r="M6" s="625"/>
      <c r="N6" s="625"/>
      <c r="O6" s="625"/>
      <c r="P6" s="625"/>
      <c r="Q6" s="625"/>
      <c r="R6" s="625"/>
      <c r="S6" s="625"/>
      <c r="T6" s="625"/>
      <c r="U6" s="625"/>
      <c r="V6" s="625"/>
      <c r="W6" s="625"/>
      <c r="X6" s="625"/>
      <c r="Y6" s="625"/>
      <c r="Z6" s="625"/>
      <c r="AA6" s="625"/>
      <c r="AB6" s="625"/>
      <c r="AC6" s="625"/>
      <c r="AD6" s="625"/>
      <c r="AE6" s="625"/>
      <c r="AF6" s="625"/>
      <c r="AG6" s="625"/>
      <c r="AH6" s="625"/>
      <c r="AI6" s="625"/>
      <c r="AJ6" s="625"/>
      <c r="AK6" s="625"/>
      <c r="AL6" s="625"/>
      <c r="AM6" s="625"/>
      <c r="AN6" s="625"/>
      <c r="AO6" s="625"/>
      <c r="AP6" s="625"/>
      <c r="AQ6" s="625"/>
      <c r="AR6" s="625"/>
      <c r="AS6" s="625"/>
      <c r="AT6" s="625"/>
      <c r="AU6" s="625"/>
      <c r="AV6" s="625"/>
      <c r="AW6" s="625"/>
      <c r="AX6" s="625"/>
      <c r="AY6" s="625"/>
      <c r="AZ6" s="625"/>
      <c r="BA6" s="625"/>
      <c r="BB6" s="625"/>
      <c r="BC6" s="625"/>
      <c r="BD6" s="625"/>
      <c r="BE6" s="625"/>
      <c r="BF6" s="625"/>
      <c r="BG6" s="625"/>
      <c r="BH6" s="625"/>
      <c r="BI6" s="625"/>
      <c r="BJ6" s="625"/>
      <c r="BK6" s="625"/>
      <c r="BL6" s="625"/>
      <c r="BM6" s="625"/>
      <c r="BN6" s="625"/>
      <c r="BO6" s="625"/>
      <c r="BP6" s="625"/>
      <c r="BQ6" s="625"/>
      <c r="BR6" s="625"/>
      <c r="BS6" s="625"/>
      <c r="BT6" s="625"/>
      <c r="BU6" s="625"/>
      <c r="BV6" s="625"/>
      <c r="BW6" s="625"/>
      <c r="BX6" s="625"/>
      <c r="BY6" s="625"/>
      <c r="BZ6" s="625"/>
      <c r="CA6" s="625"/>
      <c r="CB6" s="625"/>
      <c r="CC6" s="625"/>
      <c r="CD6" s="625"/>
      <c r="CE6" s="625"/>
      <c r="CF6" s="625"/>
      <c r="CG6" s="214"/>
      <c r="CH6" s="214"/>
      <c r="CI6" s="214"/>
      <c r="CJ6" s="214"/>
      <c r="CK6" s="214"/>
      <c r="CL6" s="214"/>
      <c r="CM6" s="214"/>
      <c r="CN6" s="214"/>
      <c r="CO6" s="214"/>
      <c r="CP6" s="214"/>
      <c r="CQ6" s="213" t="s">
        <v>90</v>
      </c>
      <c r="CR6" s="214"/>
      <c r="CS6" s="214"/>
      <c r="CT6" s="636" t="str">
        <f>ПКО!AZ8</f>
        <v>32282661</v>
      </c>
      <c r="CU6" s="627"/>
      <c r="CV6" s="627"/>
      <c r="CW6" s="627"/>
      <c r="CX6" s="627"/>
      <c r="CY6" s="627"/>
      <c r="CZ6" s="627"/>
      <c r="DA6" s="627"/>
      <c r="DB6" s="627"/>
      <c r="DC6" s="627"/>
      <c r="DD6" s="627"/>
      <c r="DE6" s="627"/>
      <c r="DF6" s="627"/>
      <c r="DG6" s="627"/>
      <c r="DH6" s="627"/>
      <c r="DI6" s="627"/>
      <c r="DJ6" s="637"/>
      <c r="DK6" s="215"/>
    </row>
    <row r="7" spans="1:115" s="199" customFormat="1" ht="9.75" x14ac:dyDescent="0.2">
      <c r="A7" s="638" t="s">
        <v>619</v>
      </c>
      <c r="B7" s="638"/>
      <c r="C7" s="638"/>
      <c r="D7" s="638"/>
      <c r="E7" s="638"/>
      <c r="F7" s="638"/>
      <c r="G7" s="638"/>
      <c r="H7" s="638"/>
      <c r="I7" s="638"/>
      <c r="J7" s="638"/>
      <c r="K7" s="638"/>
      <c r="L7" s="638"/>
      <c r="M7" s="638"/>
      <c r="N7" s="638"/>
      <c r="O7" s="638"/>
      <c r="P7" s="638"/>
      <c r="Q7" s="638"/>
      <c r="R7" s="638"/>
      <c r="S7" s="638"/>
      <c r="T7" s="638"/>
      <c r="U7" s="638"/>
      <c r="V7" s="638"/>
      <c r="W7" s="638"/>
      <c r="X7" s="638"/>
      <c r="Y7" s="638"/>
      <c r="Z7" s="638"/>
      <c r="AA7" s="638"/>
      <c r="AB7" s="638"/>
      <c r="AC7" s="638"/>
      <c r="AD7" s="638"/>
      <c r="AE7" s="638"/>
      <c r="AF7" s="638"/>
      <c r="AG7" s="638"/>
      <c r="AH7" s="638"/>
      <c r="AI7" s="638"/>
      <c r="AJ7" s="638"/>
      <c r="AK7" s="638"/>
      <c r="AL7" s="638"/>
      <c r="AM7" s="638"/>
      <c r="AN7" s="638"/>
      <c r="AO7" s="638"/>
      <c r="AP7" s="638"/>
      <c r="AQ7" s="638"/>
      <c r="AR7" s="638"/>
      <c r="AS7" s="638"/>
      <c r="AT7" s="638"/>
      <c r="AU7" s="638"/>
      <c r="AV7" s="638"/>
      <c r="AW7" s="638"/>
      <c r="AX7" s="638"/>
      <c r="AY7" s="638"/>
      <c r="AZ7" s="638"/>
      <c r="BA7" s="638"/>
      <c r="BB7" s="638"/>
      <c r="BC7" s="638"/>
      <c r="BD7" s="638"/>
      <c r="BE7" s="638"/>
      <c r="BF7" s="638"/>
      <c r="BG7" s="638"/>
      <c r="BH7" s="638"/>
      <c r="BI7" s="638"/>
      <c r="BJ7" s="638"/>
      <c r="BK7" s="638"/>
      <c r="BL7" s="638"/>
      <c r="BM7" s="638"/>
      <c r="BN7" s="638"/>
      <c r="BO7" s="638"/>
      <c r="BP7" s="638"/>
      <c r="BQ7" s="638"/>
      <c r="BR7" s="638"/>
      <c r="BS7" s="638"/>
      <c r="BT7" s="638"/>
      <c r="BU7" s="638"/>
      <c r="BV7" s="638"/>
      <c r="BW7" s="638"/>
      <c r="BX7" s="638"/>
      <c r="BY7" s="638"/>
      <c r="BZ7" s="638"/>
      <c r="CA7" s="638"/>
      <c r="CB7" s="638"/>
      <c r="CC7" s="638"/>
      <c r="CD7" s="638"/>
      <c r="CE7" s="638"/>
      <c r="CF7" s="638"/>
      <c r="CG7" s="216"/>
      <c r="CH7" s="216"/>
      <c r="CI7" s="216"/>
      <c r="CJ7" s="216"/>
      <c r="CK7" s="216"/>
      <c r="CL7" s="216"/>
      <c r="CM7" s="216"/>
      <c r="CN7" s="216"/>
      <c r="CO7" s="216"/>
      <c r="CP7" s="216"/>
      <c r="CQ7" s="216"/>
      <c r="CR7" s="216"/>
      <c r="CS7" s="216"/>
      <c r="CT7" s="639"/>
      <c r="CU7" s="640"/>
      <c r="CV7" s="640"/>
      <c r="CW7" s="640"/>
      <c r="CX7" s="640"/>
      <c r="CY7" s="640"/>
      <c r="CZ7" s="640"/>
      <c r="DA7" s="640"/>
      <c r="DB7" s="640"/>
      <c r="DC7" s="640"/>
      <c r="DD7" s="640"/>
      <c r="DE7" s="640"/>
      <c r="DF7" s="640"/>
      <c r="DG7" s="640"/>
      <c r="DH7" s="640"/>
      <c r="DI7" s="640"/>
      <c r="DJ7" s="641"/>
      <c r="DK7" s="217"/>
    </row>
    <row r="8" spans="1:115" ht="12" thickBot="1" x14ac:dyDescent="0.25">
      <c r="A8" s="625" t="str">
        <f>ПКО!A10</f>
        <v xml:space="preserve">                  Народная аренда строительного инструмента</v>
      </c>
      <c r="B8" s="625"/>
      <c r="C8" s="625"/>
      <c r="D8" s="625"/>
      <c r="E8" s="625"/>
      <c r="F8" s="625"/>
      <c r="G8" s="625"/>
      <c r="H8" s="625"/>
      <c r="I8" s="625"/>
      <c r="J8" s="625"/>
      <c r="K8" s="625"/>
      <c r="L8" s="625"/>
      <c r="M8" s="625"/>
      <c r="N8" s="625"/>
      <c r="O8" s="625"/>
      <c r="P8" s="625"/>
      <c r="Q8" s="625"/>
      <c r="R8" s="625"/>
      <c r="S8" s="625"/>
      <c r="T8" s="625"/>
      <c r="U8" s="625"/>
      <c r="V8" s="625"/>
      <c r="W8" s="625"/>
      <c r="X8" s="625"/>
      <c r="Y8" s="625"/>
      <c r="Z8" s="625"/>
      <c r="AA8" s="625"/>
      <c r="AB8" s="625"/>
      <c r="AC8" s="625"/>
      <c r="AD8" s="625"/>
      <c r="AE8" s="625"/>
      <c r="AF8" s="625"/>
      <c r="AG8" s="625"/>
      <c r="AH8" s="625"/>
      <c r="AI8" s="625"/>
      <c r="AJ8" s="625"/>
      <c r="AK8" s="625"/>
      <c r="AL8" s="625"/>
      <c r="AM8" s="625"/>
      <c r="AN8" s="625"/>
      <c r="AO8" s="625"/>
      <c r="AP8" s="625"/>
      <c r="AQ8" s="625"/>
      <c r="AR8" s="625"/>
      <c r="AS8" s="625"/>
      <c r="AT8" s="625"/>
      <c r="AU8" s="625"/>
      <c r="AV8" s="625"/>
      <c r="AW8" s="625"/>
      <c r="AX8" s="625"/>
      <c r="AY8" s="625"/>
      <c r="AZ8" s="625"/>
      <c r="BA8" s="625"/>
      <c r="BB8" s="625"/>
      <c r="BC8" s="625"/>
      <c r="BD8" s="625"/>
      <c r="BE8" s="625"/>
      <c r="BF8" s="625"/>
      <c r="BG8" s="625"/>
      <c r="BH8" s="625"/>
      <c r="BI8" s="625"/>
      <c r="BJ8" s="625"/>
      <c r="BK8" s="625"/>
      <c r="BL8" s="625"/>
      <c r="BM8" s="625"/>
      <c r="BN8" s="625"/>
      <c r="BO8" s="625"/>
      <c r="BP8" s="625"/>
      <c r="BQ8" s="625"/>
      <c r="BR8" s="625"/>
      <c r="BS8" s="625"/>
      <c r="BT8" s="625"/>
      <c r="BU8" s="625"/>
      <c r="BV8" s="625"/>
      <c r="BW8" s="625"/>
      <c r="BX8" s="625"/>
      <c r="BY8" s="625"/>
      <c r="BZ8" s="625"/>
      <c r="CA8" s="625"/>
      <c r="CB8" s="625"/>
      <c r="CC8" s="625"/>
      <c r="CD8" s="625"/>
      <c r="CE8" s="625"/>
      <c r="CF8" s="625"/>
      <c r="CG8" s="201"/>
      <c r="CH8" s="201"/>
      <c r="CI8" s="201"/>
      <c r="CJ8" s="201"/>
      <c r="CK8" s="201"/>
      <c r="CL8" s="201"/>
      <c r="CM8" s="201"/>
      <c r="CN8" s="201"/>
      <c r="CO8" s="201"/>
      <c r="CP8" s="201"/>
      <c r="CQ8" s="201"/>
      <c r="CR8" s="201"/>
      <c r="CS8" s="202"/>
      <c r="CT8" s="642"/>
      <c r="CU8" s="643"/>
      <c r="CV8" s="643"/>
      <c r="CW8" s="643"/>
      <c r="CX8" s="643"/>
      <c r="CY8" s="643"/>
      <c r="CZ8" s="643"/>
      <c r="DA8" s="643"/>
      <c r="DB8" s="643"/>
      <c r="DC8" s="643"/>
      <c r="DD8" s="643"/>
      <c r="DE8" s="643"/>
      <c r="DF8" s="643"/>
      <c r="DG8" s="643"/>
      <c r="DH8" s="643"/>
      <c r="DI8" s="643"/>
      <c r="DJ8" s="644"/>
      <c r="DK8" s="215"/>
    </row>
    <row r="9" spans="1:115" s="199" customFormat="1" ht="9.75" x14ac:dyDescent="0.2">
      <c r="A9" s="638" t="s">
        <v>620</v>
      </c>
      <c r="B9" s="638"/>
      <c r="C9" s="638"/>
      <c r="D9" s="638"/>
      <c r="E9" s="638"/>
      <c r="F9" s="638"/>
      <c r="G9" s="638"/>
      <c r="H9" s="638"/>
      <c r="I9" s="638"/>
      <c r="J9" s="638"/>
      <c r="K9" s="638"/>
      <c r="L9" s="638"/>
      <c r="M9" s="638"/>
      <c r="N9" s="638"/>
      <c r="O9" s="638"/>
      <c r="P9" s="638"/>
      <c r="Q9" s="638"/>
      <c r="R9" s="638"/>
      <c r="S9" s="638"/>
      <c r="T9" s="638"/>
      <c r="U9" s="638"/>
      <c r="V9" s="638"/>
      <c r="W9" s="638"/>
      <c r="X9" s="638"/>
      <c r="Y9" s="638"/>
      <c r="Z9" s="638"/>
      <c r="AA9" s="638"/>
      <c r="AB9" s="638"/>
      <c r="AC9" s="638"/>
      <c r="AD9" s="638"/>
      <c r="AE9" s="638"/>
      <c r="AF9" s="638"/>
      <c r="AG9" s="638"/>
      <c r="AH9" s="638"/>
      <c r="AI9" s="638"/>
      <c r="AJ9" s="638"/>
      <c r="AK9" s="638"/>
      <c r="AL9" s="638"/>
      <c r="AM9" s="638"/>
      <c r="AN9" s="638"/>
      <c r="AO9" s="638"/>
      <c r="AP9" s="638"/>
      <c r="AQ9" s="638"/>
      <c r="AR9" s="638"/>
      <c r="AS9" s="638"/>
      <c r="AT9" s="638"/>
      <c r="AU9" s="638"/>
      <c r="AV9" s="638"/>
      <c r="AW9" s="638"/>
      <c r="AX9" s="638"/>
      <c r="AY9" s="638"/>
      <c r="AZ9" s="638"/>
      <c r="BA9" s="638"/>
      <c r="BB9" s="638"/>
      <c r="BC9" s="638"/>
      <c r="BD9" s="638"/>
      <c r="BE9" s="638"/>
      <c r="BF9" s="638"/>
      <c r="BG9" s="638"/>
      <c r="BH9" s="638"/>
      <c r="BI9" s="638"/>
      <c r="BJ9" s="638"/>
      <c r="BK9" s="638"/>
      <c r="BL9" s="638"/>
      <c r="BM9" s="638"/>
      <c r="BN9" s="638"/>
      <c r="BO9" s="638"/>
      <c r="BP9" s="638"/>
      <c r="BQ9" s="638"/>
      <c r="BR9" s="638"/>
      <c r="BS9" s="638"/>
      <c r="BT9" s="638"/>
      <c r="BU9" s="638"/>
      <c r="BV9" s="638"/>
      <c r="BW9" s="638"/>
      <c r="BX9" s="638"/>
      <c r="BY9" s="638"/>
      <c r="BZ9" s="638"/>
      <c r="CA9" s="638"/>
      <c r="CB9" s="638"/>
      <c r="CC9" s="638"/>
      <c r="CD9" s="638"/>
      <c r="CE9" s="638"/>
      <c r="CF9" s="638"/>
      <c r="CG9" s="638"/>
      <c r="CH9" s="638"/>
      <c r="CI9" s="638"/>
      <c r="CJ9" s="638"/>
      <c r="CK9" s="638"/>
      <c r="CL9" s="638"/>
      <c r="CM9" s="638"/>
      <c r="CN9" s="638"/>
      <c r="CO9" s="638"/>
      <c r="CP9" s="638"/>
      <c r="CQ9" s="638"/>
      <c r="CR9" s="638"/>
      <c r="CS9" s="638"/>
      <c r="CT9" s="216"/>
      <c r="CU9" s="216"/>
      <c r="CV9" s="216"/>
      <c r="CW9" s="216"/>
      <c r="CX9" s="216"/>
      <c r="CY9" s="216"/>
      <c r="CZ9" s="216"/>
      <c r="DA9" s="216"/>
      <c r="DB9" s="216"/>
      <c r="DC9" s="216"/>
      <c r="DD9" s="216"/>
      <c r="DE9" s="216"/>
      <c r="DF9" s="216"/>
      <c r="DG9" s="216"/>
      <c r="DH9" s="216"/>
      <c r="DI9" s="216"/>
      <c r="DJ9" s="216"/>
      <c r="DK9" s="217"/>
    </row>
    <row r="10" spans="1:115" ht="12" thickBot="1" x14ac:dyDescent="0.25">
      <c r="A10" s="214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4"/>
      <c r="N10" s="214"/>
      <c r="O10" s="214"/>
      <c r="P10" s="214"/>
      <c r="Q10" s="214"/>
      <c r="R10" s="214"/>
      <c r="S10" s="214"/>
      <c r="T10" s="214"/>
      <c r="U10" s="214"/>
      <c r="V10" s="214"/>
      <c r="W10" s="214"/>
      <c r="X10" s="214"/>
      <c r="Y10" s="214"/>
      <c r="Z10" s="214"/>
      <c r="AA10" s="214"/>
      <c r="AB10" s="214"/>
      <c r="AC10" s="214"/>
      <c r="AD10" s="214"/>
      <c r="AE10" s="214"/>
      <c r="AF10" s="214"/>
      <c r="AG10" s="214"/>
      <c r="AH10" s="214"/>
      <c r="AI10" s="214"/>
      <c r="AJ10" s="214"/>
      <c r="AK10" s="214"/>
      <c r="AL10" s="214"/>
      <c r="AM10" s="214"/>
      <c r="AN10" s="214"/>
      <c r="AO10" s="214"/>
      <c r="AP10" s="214"/>
      <c r="AQ10" s="214"/>
      <c r="AR10" s="214"/>
      <c r="AS10" s="214"/>
      <c r="AT10" s="214"/>
      <c r="AU10" s="214"/>
      <c r="AV10" s="214"/>
      <c r="AW10" s="214"/>
      <c r="AX10" s="214"/>
      <c r="AY10" s="214"/>
      <c r="AZ10" s="214"/>
      <c r="BA10" s="214"/>
      <c r="BB10" s="214"/>
      <c r="BC10" s="214"/>
      <c r="BD10" s="214"/>
      <c r="BE10" s="214"/>
      <c r="BF10" s="214"/>
      <c r="BG10" s="214"/>
      <c r="BH10" s="214"/>
      <c r="BI10" s="214"/>
      <c r="BJ10" s="214"/>
      <c r="BK10" s="214"/>
      <c r="BL10" s="214"/>
      <c r="BM10" s="214"/>
      <c r="BN10" s="214"/>
      <c r="BO10" s="214"/>
      <c r="BP10" s="214"/>
      <c r="BQ10" s="214"/>
      <c r="BR10" s="214"/>
      <c r="BS10" s="214"/>
      <c r="BT10" s="214"/>
      <c r="BU10" s="214"/>
      <c r="BV10" s="214"/>
      <c r="BW10" s="214"/>
      <c r="BX10" s="214"/>
      <c r="BY10" s="214"/>
      <c r="BZ10" s="214"/>
      <c r="CA10" s="214"/>
      <c r="CB10" s="214"/>
      <c r="CC10" s="650" t="s">
        <v>621</v>
      </c>
      <c r="CD10" s="651"/>
      <c r="CE10" s="651"/>
      <c r="CF10" s="651"/>
      <c r="CG10" s="651"/>
      <c r="CH10" s="651"/>
      <c r="CI10" s="651"/>
      <c r="CJ10" s="651"/>
      <c r="CK10" s="651"/>
      <c r="CL10" s="651"/>
      <c r="CM10" s="651"/>
      <c r="CN10" s="651"/>
      <c r="CO10" s="651"/>
      <c r="CP10" s="651"/>
      <c r="CQ10" s="651"/>
      <c r="CR10" s="651"/>
      <c r="CS10" s="652"/>
      <c r="CT10" s="650" t="s">
        <v>622</v>
      </c>
      <c r="CU10" s="651"/>
      <c r="CV10" s="651"/>
      <c r="CW10" s="651"/>
      <c r="CX10" s="651"/>
      <c r="CY10" s="651"/>
      <c r="CZ10" s="651"/>
      <c r="DA10" s="651"/>
      <c r="DB10" s="651"/>
      <c r="DC10" s="651"/>
      <c r="DD10" s="651"/>
      <c r="DE10" s="651"/>
      <c r="DF10" s="651"/>
      <c r="DG10" s="651"/>
      <c r="DH10" s="651"/>
      <c r="DI10" s="651"/>
      <c r="DJ10" s="652"/>
      <c r="DK10" s="215"/>
    </row>
    <row r="11" spans="1:115" ht="15.75" customHeight="1" thickBot="1" x14ac:dyDescent="0.25">
      <c r="A11" s="214"/>
      <c r="B11" s="214"/>
      <c r="C11" s="214"/>
      <c r="D11" s="214"/>
      <c r="E11" s="214"/>
      <c r="F11" s="214"/>
      <c r="G11" s="214"/>
      <c r="H11" s="214"/>
      <c r="I11" s="214"/>
      <c r="J11" s="214"/>
      <c r="K11" s="214"/>
      <c r="L11" s="214"/>
      <c r="M11" s="214"/>
      <c r="N11" s="214"/>
      <c r="O11" s="214"/>
      <c r="P11" s="214"/>
      <c r="Q11" s="214"/>
      <c r="R11" s="214"/>
      <c r="S11" s="214"/>
      <c r="T11" s="214"/>
      <c r="U11" s="214"/>
      <c r="V11" s="214"/>
      <c r="W11" s="214"/>
      <c r="X11" s="214"/>
      <c r="Y11" s="214"/>
      <c r="Z11" s="214"/>
      <c r="AA11" s="214"/>
      <c r="AB11" s="214"/>
      <c r="AC11" s="214"/>
      <c r="AD11" s="214"/>
      <c r="AE11" s="214"/>
      <c r="AF11" s="214"/>
      <c r="AG11" s="214"/>
      <c r="AH11" s="214"/>
      <c r="AI11" s="214"/>
      <c r="AJ11" s="214"/>
      <c r="AK11" s="214"/>
      <c r="AL11" s="214"/>
      <c r="AM11" s="214"/>
      <c r="AN11" s="214"/>
      <c r="AO11" s="214"/>
      <c r="AP11" s="214"/>
      <c r="AQ11" s="214"/>
      <c r="AR11" s="214"/>
      <c r="AS11" s="214"/>
      <c r="AT11" s="214"/>
      <c r="AU11" s="214"/>
      <c r="AV11" s="214"/>
      <c r="AW11" s="214"/>
      <c r="AX11" s="214"/>
      <c r="AY11" s="214"/>
      <c r="AZ11" s="214"/>
      <c r="BA11" s="214"/>
      <c r="BB11" s="214"/>
      <c r="BC11" s="214"/>
      <c r="BD11" s="214"/>
      <c r="BE11" s="214"/>
      <c r="BF11" s="214"/>
      <c r="BG11" s="214"/>
      <c r="BH11" s="214"/>
      <c r="BI11" s="214"/>
      <c r="BJ11" s="214"/>
      <c r="BK11" s="214"/>
      <c r="BL11" s="214"/>
      <c r="BM11" s="214"/>
      <c r="BN11" s="214"/>
      <c r="BO11" s="214"/>
      <c r="BP11" s="214"/>
      <c r="BQ11" s="214"/>
      <c r="BR11" s="200" t="s">
        <v>623</v>
      </c>
      <c r="BS11" s="214"/>
      <c r="BT11" s="232"/>
      <c r="BU11" s="629">
        <f ca="1">ПКО!AJ15</f>
        <v>21</v>
      </c>
      <c r="BV11" s="628"/>
      <c r="BW11" s="628"/>
      <c r="BX11" s="628"/>
      <c r="BY11" s="628"/>
      <c r="BZ11" s="628">
        <f ca="1">ПКО!AN15</f>
        <v>11</v>
      </c>
      <c r="CA11" s="628"/>
      <c r="CB11" s="628"/>
      <c r="CC11" s="628"/>
      <c r="CD11" s="628">
        <f ca="1">ПКО!AQ15</f>
        <v>2025</v>
      </c>
      <c r="CE11" s="628"/>
      <c r="CF11" s="628"/>
      <c r="CG11" s="628"/>
      <c r="CH11" s="628"/>
      <c r="CI11" s="628"/>
      <c r="CJ11" s="666">
        <f ca="1">ПКО!AU15</f>
        <v>45982.790570370373</v>
      </c>
      <c r="CK11" s="666"/>
      <c r="CL11" s="666"/>
      <c r="CM11" s="666"/>
      <c r="CN11" s="666"/>
      <c r="CO11" s="666"/>
      <c r="CP11" s="666"/>
      <c r="CQ11" s="628">
        <f>ПКО!AZ15</f>
        <v>1</v>
      </c>
      <c r="CR11" s="628"/>
      <c r="CS11" s="654"/>
      <c r="CT11" s="653">
        <f ca="1">ПКО!BB15</f>
        <v>45982</v>
      </c>
      <c r="CU11" s="628"/>
      <c r="CV11" s="628"/>
      <c r="CW11" s="628"/>
      <c r="CX11" s="628"/>
      <c r="CY11" s="628"/>
      <c r="CZ11" s="628"/>
      <c r="DA11" s="628"/>
      <c r="DB11" s="628"/>
      <c r="DC11" s="628"/>
      <c r="DD11" s="628"/>
      <c r="DE11" s="628"/>
      <c r="DF11" s="628"/>
      <c r="DG11" s="628"/>
      <c r="DH11" s="628"/>
      <c r="DI11" s="628"/>
      <c r="DJ11" s="654"/>
      <c r="DK11" s="215"/>
    </row>
    <row r="12" spans="1:115" x14ac:dyDescent="0.2">
      <c r="A12" s="214"/>
      <c r="B12" s="214"/>
      <c r="C12" s="214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214"/>
      <c r="S12" s="214"/>
      <c r="T12" s="214"/>
      <c r="U12" s="214"/>
      <c r="V12" s="214"/>
      <c r="W12" s="214"/>
      <c r="X12" s="214"/>
      <c r="Y12" s="214"/>
      <c r="Z12" s="214"/>
      <c r="AA12" s="214"/>
      <c r="AB12" s="214"/>
      <c r="AC12" s="214"/>
      <c r="AD12" s="214"/>
      <c r="AE12" s="214"/>
      <c r="AF12" s="214"/>
      <c r="AG12" s="214"/>
      <c r="AH12" s="214"/>
      <c r="AI12" s="214"/>
      <c r="AJ12" s="214"/>
      <c r="AK12" s="214"/>
      <c r="AL12" s="214"/>
      <c r="AM12" s="214"/>
      <c r="AN12" s="214"/>
      <c r="AO12" s="214"/>
      <c r="AP12" s="214"/>
      <c r="AQ12" s="214"/>
      <c r="AR12" s="214"/>
      <c r="AS12" s="214"/>
      <c r="AT12" s="214"/>
      <c r="AU12" s="214"/>
      <c r="AV12" s="214"/>
      <c r="AW12" s="214"/>
      <c r="AX12" s="214"/>
      <c r="AY12" s="214"/>
      <c r="AZ12" s="214"/>
      <c r="BA12" s="214"/>
      <c r="BB12" s="214"/>
      <c r="BC12" s="214"/>
      <c r="BD12" s="214"/>
      <c r="BE12" s="214"/>
      <c r="BF12" s="214"/>
      <c r="BG12" s="214"/>
      <c r="BH12" s="214"/>
      <c r="BI12" s="214"/>
      <c r="BJ12" s="214"/>
      <c r="BK12" s="214"/>
      <c r="BL12" s="214"/>
      <c r="BM12" s="214"/>
      <c r="BN12" s="214"/>
      <c r="BO12" s="214"/>
      <c r="BP12" s="214"/>
      <c r="BQ12" s="214"/>
      <c r="BR12" s="214"/>
      <c r="BS12" s="214"/>
      <c r="BT12" s="214"/>
      <c r="BU12" s="214"/>
      <c r="BV12" s="214"/>
      <c r="BW12" s="214"/>
      <c r="BX12" s="214"/>
      <c r="BY12" s="214"/>
      <c r="BZ12" s="214"/>
      <c r="CA12" s="214"/>
      <c r="CB12" s="214"/>
      <c r="CC12" s="214"/>
      <c r="CD12" s="214"/>
      <c r="CE12" s="214"/>
      <c r="CF12" s="214"/>
      <c r="CG12" s="214"/>
      <c r="CH12" s="214"/>
      <c r="CI12" s="214"/>
      <c r="CJ12" s="214"/>
      <c r="CK12" s="214"/>
      <c r="CL12" s="214"/>
      <c r="CM12" s="214"/>
      <c r="CN12" s="214"/>
      <c r="CO12" s="214"/>
      <c r="CP12" s="214"/>
      <c r="CQ12" s="214"/>
      <c r="CR12" s="214"/>
      <c r="CS12" s="214"/>
      <c r="CT12" s="214"/>
      <c r="CU12" s="214"/>
      <c r="CV12" s="214"/>
      <c r="CW12" s="214"/>
      <c r="CX12" s="214"/>
      <c r="CY12" s="214"/>
      <c r="CZ12" s="214"/>
      <c r="DA12" s="214"/>
      <c r="DB12" s="214"/>
      <c r="DC12" s="214"/>
      <c r="DD12" s="214"/>
      <c r="DE12" s="214"/>
      <c r="DF12" s="214"/>
      <c r="DG12" s="214"/>
      <c r="DH12" s="214"/>
      <c r="DI12" s="214"/>
      <c r="DJ12" s="214"/>
      <c r="DK12" s="215"/>
    </row>
    <row r="13" spans="1:115" x14ac:dyDescent="0.2">
      <c r="A13" s="655" t="s">
        <v>100</v>
      </c>
      <c r="B13" s="656"/>
      <c r="C13" s="656"/>
      <c r="D13" s="656"/>
      <c r="E13" s="656"/>
      <c r="F13" s="656"/>
      <c r="G13" s="656"/>
      <c r="H13" s="656"/>
      <c r="I13" s="656"/>
      <c r="J13" s="656"/>
      <c r="K13" s="656"/>
      <c r="L13" s="656"/>
      <c r="M13" s="656"/>
      <c r="N13" s="656"/>
      <c r="O13" s="656"/>
      <c r="P13" s="656"/>
      <c r="Q13" s="656"/>
      <c r="R13" s="656"/>
      <c r="S13" s="656"/>
      <c r="T13" s="656"/>
      <c r="U13" s="656"/>
      <c r="V13" s="656"/>
      <c r="W13" s="656"/>
      <c r="X13" s="656"/>
      <c r="Y13" s="656"/>
      <c r="Z13" s="656"/>
      <c r="AA13" s="656"/>
      <c r="AB13" s="656"/>
      <c r="AC13" s="656"/>
      <c r="AD13" s="656"/>
      <c r="AE13" s="656"/>
      <c r="AF13" s="656"/>
      <c r="AG13" s="656"/>
      <c r="AH13" s="656"/>
      <c r="AI13" s="656"/>
      <c r="AJ13" s="656"/>
      <c r="AK13" s="656"/>
      <c r="AL13" s="656"/>
      <c r="AM13" s="656"/>
      <c r="AN13" s="656"/>
      <c r="AO13" s="656"/>
      <c r="AP13" s="656"/>
      <c r="AQ13" s="656"/>
      <c r="AR13" s="656"/>
      <c r="AS13" s="656"/>
      <c r="AT13" s="656"/>
      <c r="AU13" s="656"/>
      <c r="AV13" s="656"/>
      <c r="AW13" s="656"/>
      <c r="AX13" s="656"/>
      <c r="AY13" s="656"/>
      <c r="AZ13" s="656"/>
      <c r="BA13" s="656"/>
      <c r="BB13" s="656"/>
      <c r="BC13" s="656"/>
      <c r="BD13" s="656"/>
      <c r="BE13" s="656"/>
      <c r="BF13" s="656"/>
      <c r="BG13" s="656"/>
      <c r="BH13" s="656"/>
      <c r="BI13" s="656"/>
      <c r="BJ13" s="656"/>
      <c r="BK13" s="656"/>
      <c r="BL13" s="656"/>
      <c r="BM13" s="656"/>
      <c r="BN13" s="656"/>
      <c r="BO13" s="656"/>
      <c r="BP13" s="656"/>
      <c r="BQ13" s="656"/>
      <c r="BR13" s="656"/>
      <c r="BS13" s="657"/>
      <c r="BT13" s="658" t="s">
        <v>101</v>
      </c>
      <c r="BU13" s="659"/>
      <c r="BV13" s="659"/>
      <c r="BW13" s="659"/>
      <c r="BX13" s="659"/>
      <c r="BY13" s="659"/>
      <c r="BZ13" s="659"/>
      <c r="CA13" s="659"/>
      <c r="CB13" s="660"/>
      <c r="CC13" s="658" t="s">
        <v>641</v>
      </c>
      <c r="CD13" s="659"/>
      <c r="CE13" s="659"/>
      <c r="CF13" s="659"/>
      <c r="CG13" s="659"/>
      <c r="CH13" s="659"/>
      <c r="CI13" s="659"/>
      <c r="CJ13" s="659"/>
      <c r="CK13" s="659"/>
      <c r="CL13" s="659"/>
      <c r="CM13" s="659"/>
      <c r="CN13" s="659"/>
      <c r="CO13" s="659"/>
      <c r="CP13" s="660"/>
      <c r="CQ13" s="658" t="s">
        <v>624</v>
      </c>
      <c r="CR13" s="659"/>
      <c r="CS13" s="659"/>
      <c r="CT13" s="659"/>
      <c r="CU13" s="659"/>
      <c r="CV13" s="659"/>
      <c r="CW13" s="659"/>
      <c r="CX13" s="659"/>
      <c r="CY13" s="659"/>
      <c r="CZ13" s="659"/>
      <c r="DA13" s="659"/>
      <c r="DB13" s="660"/>
      <c r="DC13" s="650"/>
      <c r="DD13" s="651"/>
      <c r="DE13" s="651"/>
      <c r="DF13" s="651"/>
      <c r="DG13" s="651"/>
      <c r="DH13" s="651"/>
      <c r="DI13" s="651"/>
      <c r="DJ13" s="652"/>
      <c r="DK13" s="215"/>
    </row>
    <row r="14" spans="1:115" ht="23.25" customHeight="1" thickBot="1" x14ac:dyDescent="0.25">
      <c r="A14" s="658"/>
      <c r="B14" s="659"/>
      <c r="C14" s="659"/>
      <c r="D14" s="659"/>
      <c r="E14" s="659"/>
      <c r="F14" s="659"/>
      <c r="G14" s="660"/>
      <c r="H14" s="658" t="s">
        <v>625</v>
      </c>
      <c r="I14" s="659"/>
      <c r="J14" s="659"/>
      <c r="K14" s="659"/>
      <c r="L14" s="659"/>
      <c r="M14" s="659"/>
      <c r="N14" s="659"/>
      <c r="O14" s="659"/>
      <c r="P14" s="659"/>
      <c r="Q14" s="659"/>
      <c r="R14" s="659"/>
      <c r="S14" s="659"/>
      <c r="T14" s="659"/>
      <c r="U14" s="659"/>
      <c r="V14" s="659"/>
      <c r="W14" s="659"/>
      <c r="X14" s="659"/>
      <c r="Y14" s="659"/>
      <c r="Z14" s="660"/>
      <c r="AA14" s="658" t="s">
        <v>626</v>
      </c>
      <c r="AB14" s="659"/>
      <c r="AC14" s="659"/>
      <c r="AD14" s="659"/>
      <c r="AE14" s="659"/>
      <c r="AF14" s="659"/>
      <c r="AG14" s="659"/>
      <c r="AH14" s="659"/>
      <c r="AI14" s="659"/>
      <c r="AJ14" s="659"/>
      <c r="AK14" s="659"/>
      <c r="AL14" s="659"/>
      <c r="AM14" s="659"/>
      <c r="AN14" s="659"/>
      <c r="AO14" s="659"/>
      <c r="AP14" s="659"/>
      <c r="AQ14" s="659"/>
      <c r="AR14" s="659"/>
      <c r="AS14" s="659"/>
      <c r="AT14" s="659"/>
      <c r="AU14" s="660"/>
      <c r="AV14" s="658" t="s">
        <v>627</v>
      </c>
      <c r="AW14" s="659"/>
      <c r="AX14" s="659"/>
      <c r="AY14" s="659"/>
      <c r="AZ14" s="659"/>
      <c r="BA14" s="659"/>
      <c r="BB14" s="659"/>
      <c r="BC14" s="659"/>
      <c r="BD14" s="659"/>
      <c r="BE14" s="659"/>
      <c r="BF14" s="659"/>
      <c r="BG14" s="659"/>
      <c r="BH14" s="659"/>
      <c r="BI14" s="659"/>
      <c r="BJ14" s="659"/>
      <c r="BK14" s="659"/>
      <c r="BL14" s="659"/>
      <c r="BM14" s="659"/>
      <c r="BN14" s="659"/>
      <c r="BO14" s="659"/>
      <c r="BP14" s="659"/>
      <c r="BQ14" s="659"/>
      <c r="BR14" s="659"/>
      <c r="BS14" s="659"/>
      <c r="BT14" s="661"/>
      <c r="BU14" s="662"/>
      <c r="BV14" s="662"/>
      <c r="BW14" s="662"/>
      <c r="BX14" s="662"/>
      <c r="BY14" s="662"/>
      <c r="BZ14" s="662"/>
      <c r="CA14" s="662"/>
      <c r="CB14" s="663"/>
      <c r="CC14" s="661"/>
      <c r="CD14" s="662"/>
      <c r="CE14" s="662"/>
      <c r="CF14" s="662"/>
      <c r="CG14" s="662"/>
      <c r="CH14" s="662"/>
      <c r="CI14" s="662"/>
      <c r="CJ14" s="662"/>
      <c r="CK14" s="662"/>
      <c r="CL14" s="662"/>
      <c r="CM14" s="662"/>
      <c r="CN14" s="662"/>
      <c r="CO14" s="662"/>
      <c r="CP14" s="663"/>
      <c r="CQ14" s="661"/>
      <c r="CR14" s="662"/>
      <c r="CS14" s="662"/>
      <c r="CT14" s="662"/>
      <c r="CU14" s="662"/>
      <c r="CV14" s="662"/>
      <c r="CW14" s="662"/>
      <c r="CX14" s="662"/>
      <c r="CY14" s="662"/>
      <c r="CZ14" s="662"/>
      <c r="DA14" s="662"/>
      <c r="DB14" s="663"/>
      <c r="DC14" s="664"/>
      <c r="DD14" s="575"/>
      <c r="DE14" s="575"/>
      <c r="DF14" s="575"/>
      <c r="DG14" s="575"/>
      <c r="DH14" s="575"/>
      <c r="DI14" s="575"/>
      <c r="DJ14" s="665"/>
      <c r="DK14" s="215"/>
    </row>
    <row r="15" spans="1:115" ht="12" thickBot="1" x14ac:dyDescent="0.25">
      <c r="A15" s="667"/>
      <c r="B15" s="646"/>
      <c r="C15" s="646"/>
      <c r="D15" s="646"/>
      <c r="E15" s="646"/>
      <c r="F15" s="646"/>
      <c r="G15" s="647"/>
      <c r="H15" s="648" t="str">
        <f>ПКО!L21</f>
        <v>1</v>
      </c>
      <c r="I15" s="646"/>
      <c r="J15" s="646"/>
      <c r="K15" s="646"/>
      <c r="L15" s="646"/>
      <c r="M15" s="646"/>
      <c r="N15" s="646"/>
      <c r="O15" s="646"/>
      <c r="P15" s="646"/>
      <c r="Q15" s="646"/>
      <c r="R15" s="646"/>
      <c r="S15" s="646"/>
      <c r="T15" s="646"/>
      <c r="U15" s="646"/>
      <c r="V15" s="646"/>
      <c r="W15" s="646"/>
      <c r="X15" s="646"/>
      <c r="Y15" s="646"/>
      <c r="Z15" s="647"/>
      <c r="AA15" s="648" t="str">
        <f>ПКО!U21</f>
        <v>1234587</v>
      </c>
      <c r="AB15" s="646"/>
      <c r="AC15" s="646"/>
      <c r="AD15" s="646"/>
      <c r="AE15" s="646"/>
      <c r="AF15" s="646"/>
      <c r="AG15" s="646"/>
      <c r="AH15" s="646"/>
      <c r="AI15" s="646"/>
      <c r="AJ15" s="646"/>
      <c r="AK15" s="646"/>
      <c r="AL15" s="646"/>
      <c r="AM15" s="646"/>
      <c r="AN15" s="646"/>
      <c r="AO15" s="646"/>
      <c r="AP15" s="646"/>
      <c r="AQ15" s="646"/>
      <c r="AR15" s="646"/>
      <c r="AS15" s="646"/>
      <c r="AT15" s="646"/>
      <c r="AU15" s="647"/>
      <c r="AV15" s="648" t="str">
        <f>ПКО!AD21</f>
        <v>6598</v>
      </c>
      <c r="AW15" s="646"/>
      <c r="AX15" s="646"/>
      <c r="AY15" s="646"/>
      <c r="AZ15" s="646"/>
      <c r="BA15" s="646"/>
      <c r="BB15" s="646"/>
      <c r="BC15" s="646"/>
      <c r="BD15" s="646"/>
      <c r="BE15" s="646"/>
      <c r="BF15" s="646"/>
      <c r="BG15" s="646"/>
      <c r="BH15" s="646"/>
      <c r="BI15" s="646"/>
      <c r="BJ15" s="646"/>
      <c r="BK15" s="646"/>
      <c r="BL15" s="646"/>
      <c r="BM15" s="646"/>
      <c r="BN15" s="646"/>
      <c r="BO15" s="646"/>
      <c r="BP15" s="646"/>
      <c r="BQ15" s="646"/>
      <c r="BR15" s="646"/>
      <c r="BS15" s="647"/>
      <c r="BT15" s="645"/>
      <c r="BU15" s="646"/>
      <c r="BV15" s="646"/>
      <c r="BW15" s="646"/>
      <c r="BX15" s="646"/>
      <c r="BY15" s="646"/>
      <c r="BZ15" s="646"/>
      <c r="CA15" s="646"/>
      <c r="CB15" s="647"/>
      <c r="CC15" s="645">
        <f>ПКО!BU21</f>
        <v>3000</v>
      </c>
      <c r="CD15" s="646"/>
      <c r="CE15" s="646"/>
      <c r="CF15" s="646"/>
      <c r="CG15" s="646"/>
      <c r="CH15" s="646"/>
      <c r="CI15" s="646"/>
      <c r="CJ15" s="646"/>
      <c r="CK15" s="646"/>
      <c r="CL15" s="646"/>
      <c r="CM15" s="646"/>
      <c r="CN15" s="646"/>
      <c r="CO15" s="646"/>
      <c r="CP15" s="647"/>
      <c r="CQ15" s="648" t="str">
        <f>ПКО!AW21</f>
        <v>200</v>
      </c>
      <c r="CR15" s="646"/>
      <c r="CS15" s="646"/>
      <c r="CT15" s="646"/>
      <c r="CU15" s="646"/>
      <c r="CV15" s="646"/>
      <c r="CW15" s="646"/>
      <c r="CX15" s="646"/>
      <c r="CY15" s="646"/>
      <c r="CZ15" s="646"/>
      <c r="DA15" s="646"/>
      <c r="DB15" s="647"/>
      <c r="DC15" s="645"/>
      <c r="DD15" s="646"/>
      <c r="DE15" s="646"/>
      <c r="DF15" s="646"/>
      <c r="DG15" s="646"/>
      <c r="DH15" s="646"/>
      <c r="DI15" s="646"/>
      <c r="DJ15" s="649"/>
      <c r="DK15" s="215"/>
    </row>
    <row r="16" spans="1:115" x14ac:dyDescent="0.2">
      <c r="A16" s="214"/>
      <c r="B16" s="214"/>
      <c r="C16" s="214"/>
      <c r="D16" s="214"/>
      <c r="E16" s="214"/>
      <c r="F16" s="214"/>
      <c r="G16" s="214"/>
      <c r="H16" s="214"/>
      <c r="I16" s="214"/>
      <c r="J16" s="214"/>
      <c r="K16" s="214"/>
      <c r="L16" s="214"/>
      <c r="M16" s="214"/>
      <c r="N16" s="214"/>
      <c r="O16" s="214"/>
      <c r="P16" s="214"/>
      <c r="Q16" s="214"/>
      <c r="R16" s="214"/>
      <c r="S16" s="214"/>
      <c r="T16" s="214"/>
      <c r="U16" s="214"/>
      <c r="V16" s="214"/>
      <c r="W16" s="214"/>
      <c r="X16" s="214"/>
      <c r="Y16" s="214"/>
      <c r="Z16" s="214"/>
      <c r="AA16" s="214"/>
      <c r="AB16" s="214"/>
      <c r="AC16" s="214"/>
      <c r="AD16" s="214"/>
      <c r="AE16" s="214"/>
      <c r="AF16" s="214"/>
      <c r="AG16" s="214"/>
      <c r="AH16" s="214"/>
      <c r="AI16" s="214"/>
      <c r="AJ16" s="214"/>
      <c r="AK16" s="214"/>
      <c r="AL16" s="214"/>
      <c r="AM16" s="214"/>
      <c r="AN16" s="214"/>
      <c r="AO16" s="214"/>
      <c r="AP16" s="214"/>
      <c r="AQ16" s="214"/>
      <c r="AR16" s="214"/>
      <c r="AS16" s="214"/>
      <c r="AT16" s="214"/>
      <c r="AU16" s="214"/>
      <c r="AV16" s="214"/>
      <c r="AW16" s="214"/>
      <c r="AX16" s="214"/>
      <c r="AY16" s="214"/>
      <c r="AZ16" s="214"/>
      <c r="BA16" s="214"/>
      <c r="BB16" s="214"/>
      <c r="BC16" s="214"/>
      <c r="BD16" s="214"/>
      <c r="BE16" s="214"/>
      <c r="BF16" s="214"/>
      <c r="BG16" s="214"/>
      <c r="BH16" s="214"/>
      <c r="BI16" s="214"/>
      <c r="BJ16" s="214"/>
      <c r="BK16" s="214"/>
      <c r="BL16" s="214"/>
      <c r="BM16" s="214"/>
      <c r="BN16" s="214"/>
      <c r="BO16" s="214"/>
      <c r="BP16" s="214"/>
      <c r="BQ16" s="214"/>
      <c r="BR16" s="214"/>
      <c r="BS16" s="214"/>
      <c r="BT16" s="214"/>
      <c r="BU16" s="214"/>
      <c r="BV16" s="214"/>
      <c r="BW16" s="214"/>
      <c r="BX16" s="214"/>
      <c r="BY16" s="214"/>
      <c r="BZ16" s="214"/>
      <c r="CA16" s="214"/>
      <c r="CB16" s="214"/>
      <c r="CC16" s="214"/>
      <c r="CD16" s="214"/>
      <c r="CE16" s="214"/>
      <c r="CF16" s="214"/>
      <c r="CG16" s="214"/>
      <c r="CH16" s="214"/>
      <c r="CI16" s="214"/>
      <c r="CJ16" s="214"/>
      <c r="CK16" s="214"/>
      <c r="CL16" s="214"/>
      <c r="CM16" s="214"/>
      <c r="CN16" s="214"/>
      <c r="CO16" s="214"/>
      <c r="CP16" s="214"/>
      <c r="CQ16" s="214"/>
      <c r="CR16" s="214"/>
      <c r="CS16" s="214"/>
      <c r="CT16" s="214"/>
      <c r="CU16" s="214"/>
      <c r="CV16" s="214"/>
      <c r="CW16" s="214"/>
      <c r="CX16" s="214"/>
      <c r="CY16" s="214"/>
      <c r="CZ16" s="214"/>
      <c r="DA16" s="214"/>
      <c r="DB16" s="214"/>
      <c r="DC16" s="214"/>
      <c r="DD16" s="214"/>
      <c r="DE16" s="214"/>
      <c r="DF16" s="214"/>
      <c r="DG16" s="214"/>
      <c r="DH16" s="214"/>
      <c r="DI16" s="214"/>
      <c r="DJ16" s="214"/>
      <c r="DK16" s="215"/>
    </row>
    <row r="17" spans="1:115" x14ac:dyDescent="0.2">
      <c r="A17" s="214" t="s">
        <v>628</v>
      </c>
      <c r="B17" s="214"/>
      <c r="C17" s="214"/>
      <c r="D17" s="214"/>
      <c r="E17" s="214"/>
      <c r="F17" s="214"/>
      <c r="G17" s="214"/>
      <c r="H17" s="625" t="str">
        <f>ПКО!I23</f>
        <v>{{CLIENT_FULLNAME}}</v>
      </c>
      <c r="I17" s="625"/>
      <c r="J17" s="625"/>
      <c r="K17" s="625"/>
      <c r="L17" s="625"/>
      <c r="M17" s="625"/>
      <c r="N17" s="625"/>
      <c r="O17" s="625"/>
      <c r="P17" s="625"/>
      <c r="Q17" s="625"/>
      <c r="R17" s="625"/>
      <c r="S17" s="625"/>
      <c r="T17" s="625"/>
      <c r="U17" s="625"/>
      <c r="V17" s="625"/>
      <c r="W17" s="625"/>
      <c r="X17" s="625"/>
      <c r="Y17" s="625"/>
      <c r="Z17" s="625"/>
      <c r="AA17" s="625"/>
      <c r="AB17" s="625"/>
      <c r="AC17" s="625"/>
      <c r="AD17" s="625"/>
      <c r="AE17" s="625"/>
      <c r="AF17" s="625"/>
      <c r="AG17" s="625"/>
      <c r="AH17" s="625"/>
      <c r="AI17" s="625"/>
      <c r="AJ17" s="625"/>
      <c r="AK17" s="625"/>
      <c r="AL17" s="625"/>
      <c r="AM17" s="625"/>
      <c r="AN17" s="625"/>
      <c r="AO17" s="625"/>
      <c r="AP17" s="625"/>
      <c r="AQ17" s="625"/>
      <c r="AR17" s="625"/>
      <c r="AS17" s="625"/>
      <c r="AT17" s="625"/>
      <c r="AU17" s="625"/>
      <c r="AV17" s="625"/>
      <c r="AW17" s="625"/>
      <c r="AX17" s="625"/>
      <c r="AY17" s="625"/>
      <c r="AZ17" s="625"/>
      <c r="BA17" s="625"/>
      <c r="BB17" s="625"/>
      <c r="BC17" s="625"/>
      <c r="BD17" s="625"/>
      <c r="BE17" s="625"/>
      <c r="BF17" s="625"/>
      <c r="BG17" s="625"/>
      <c r="BH17" s="625"/>
      <c r="BI17" s="625"/>
      <c r="BJ17" s="625"/>
      <c r="BK17" s="625"/>
      <c r="BL17" s="625"/>
      <c r="BM17" s="625"/>
      <c r="BN17" s="625"/>
      <c r="BO17" s="625"/>
      <c r="BP17" s="625"/>
      <c r="BQ17" s="625"/>
      <c r="BR17" s="625"/>
      <c r="BS17" s="625"/>
      <c r="BT17" s="625"/>
      <c r="BU17" s="625"/>
      <c r="BV17" s="625"/>
      <c r="BW17" s="625"/>
      <c r="BX17" s="625"/>
      <c r="BY17" s="625"/>
      <c r="BZ17" s="625"/>
      <c r="CA17" s="625"/>
      <c r="CB17" s="625"/>
      <c r="CC17" s="625"/>
      <c r="CD17" s="625"/>
      <c r="CE17" s="625"/>
      <c r="CF17" s="625"/>
      <c r="CG17" s="625"/>
      <c r="CH17" s="625"/>
      <c r="CI17" s="625"/>
      <c r="CJ17" s="625"/>
      <c r="CK17" s="625"/>
      <c r="CL17" s="625"/>
      <c r="CM17" s="625"/>
      <c r="CN17" s="625"/>
      <c r="CO17" s="625"/>
      <c r="CP17" s="625"/>
      <c r="CQ17" s="625"/>
      <c r="CR17" s="625"/>
      <c r="CS17" s="625"/>
      <c r="CT17" s="625"/>
      <c r="CU17" s="625"/>
      <c r="CV17" s="625"/>
      <c r="CW17" s="625"/>
      <c r="CX17" s="625"/>
      <c r="CY17" s="625"/>
      <c r="CZ17" s="625"/>
      <c r="DA17" s="625"/>
      <c r="DB17" s="625"/>
      <c r="DC17" s="625"/>
      <c r="DD17" s="625"/>
      <c r="DE17" s="625"/>
      <c r="DF17" s="625"/>
      <c r="DG17" s="625"/>
      <c r="DH17" s="625"/>
      <c r="DI17" s="625"/>
      <c r="DJ17" s="625"/>
      <c r="DK17" s="215"/>
    </row>
    <row r="18" spans="1:115" s="199" customFormat="1" ht="9.75" x14ac:dyDescent="0.2">
      <c r="A18" s="216"/>
      <c r="B18" s="216"/>
      <c r="C18" s="216"/>
      <c r="D18" s="216"/>
      <c r="E18" s="216"/>
      <c r="F18" s="216"/>
      <c r="G18" s="216"/>
      <c r="H18" s="638" t="s">
        <v>629</v>
      </c>
      <c r="I18" s="638"/>
      <c r="J18" s="638"/>
      <c r="K18" s="638"/>
      <c r="L18" s="638"/>
      <c r="M18" s="638"/>
      <c r="N18" s="638"/>
      <c r="O18" s="638"/>
      <c r="P18" s="638"/>
      <c r="Q18" s="638"/>
      <c r="R18" s="638"/>
      <c r="S18" s="638"/>
      <c r="T18" s="638"/>
      <c r="U18" s="638"/>
      <c r="V18" s="638"/>
      <c r="W18" s="638"/>
      <c r="X18" s="638"/>
      <c r="Y18" s="638"/>
      <c r="Z18" s="638"/>
      <c r="AA18" s="638"/>
      <c r="AB18" s="638"/>
      <c r="AC18" s="638"/>
      <c r="AD18" s="638"/>
      <c r="AE18" s="638"/>
      <c r="AF18" s="638"/>
      <c r="AG18" s="638"/>
      <c r="AH18" s="638"/>
      <c r="AI18" s="638"/>
      <c r="AJ18" s="638"/>
      <c r="AK18" s="638"/>
      <c r="AL18" s="638"/>
      <c r="AM18" s="638"/>
      <c r="AN18" s="638"/>
      <c r="AO18" s="638"/>
      <c r="AP18" s="638"/>
      <c r="AQ18" s="638"/>
      <c r="AR18" s="638"/>
      <c r="AS18" s="638"/>
      <c r="AT18" s="638"/>
      <c r="AU18" s="638"/>
      <c r="AV18" s="638"/>
      <c r="AW18" s="638"/>
      <c r="AX18" s="638"/>
      <c r="AY18" s="638"/>
      <c r="AZ18" s="638"/>
      <c r="BA18" s="638"/>
      <c r="BB18" s="638"/>
      <c r="BC18" s="638"/>
      <c r="BD18" s="638"/>
      <c r="BE18" s="638"/>
      <c r="BF18" s="638"/>
      <c r="BG18" s="638"/>
      <c r="BH18" s="638"/>
      <c r="BI18" s="638"/>
      <c r="BJ18" s="638"/>
      <c r="BK18" s="638"/>
      <c r="BL18" s="638"/>
      <c r="BM18" s="638"/>
      <c r="BN18" s="638"/>
      <c r="BO18" s="638"/>
      <c r="BP18" s="638"/>
      <c r="BQ18" s="638"/>
      <c r="BR18" s="638"/>
      <c r="BS18" s="638"/>
      <c r="BT18" s="638"/>
      <c r="BU18" s="638"/>
      <c r="BV18" s="638"/>
      <c r="BW18" s="638"/>
      <c r="BX18" s="638"/>
      <c r="BY18" s="638"/>
      <c r="BZ18" s="638"/>
      <c r="CA18" s="638"/>
      <c r="CB18" s="638"/>
      <c r="CC18" s="638"/>
      <c r="CD18" s="638"/>
      <c r="CE18" s="638"/>
      <c r="CF18" s="638"/>
      <c r="CG18" s="638"/>
      <c r="CH18" s="638"/>
      <c r="CI18" s="638"/>
      <c r="CJ18" s="638"/>
      <c r="CK18" s="638"/>
      <c r="CL18" s="638"/>
      <c r="CM18" s="638"/>
      <c r="CN18" s="638"/>
      <c r="CO18" s="638"/>
      <c r="CP18" s="638"/>
      <c r="CQ18" s="638"/>
      <c r="CR18" s="638"/>
      <c r="CS18" s="638"/>
      <c r="CT18" s="638"/>
      <c r="CU18" s="638"/>
      <c r="CV18" s="638"/>
      <c r="CW18" s="638"/>
      <c r="CX18" s="638"/>
      <c r="CY18" s="638"/>
      <c r="CZ18" s="638"/>
      <c r="DA18" s="638"/>
      <c r="DB18" s="638"/>
      <c r="DC18" s="638"/>
      <c r="DD18" s="638"/>
      <c r="DE18" s="638"/>
      <c r="DF18" s="638"/>
      <c r="DG18" s="638"/>
      <c r="DH18" s="638"/>
      <c r="DI18" s="638"/>
      <c r="DJ18" s="638"/>
      <c r="DK18" s="217"/>
    </row>
    <row r="19" spans="1:115" x14ac:dyDescent="0.2">
      <c r="A19" s="214" t="s">
        <v>99</v>
      </c>
      <c r="B19" s="214"/>
      <c r="C19" s="214"/>
      <c r="D19" s="214"/>
      <c r="E19" s="214"/>
      <c r="F19" s="214"/>
      <c r="G19" s="214"/>
      <c r="H19" s="214"/>
      <c r="I19" s="214"/>
      <c r="J19" s="214"/>
      <c r="K19" s="625" t="s">
        <v>659</v>
      </c>
      <c r="L19" s="625"/>
      <c r="M19" s="625"/>
      <c r="N19" s="625"/>
      <c r="O19" s="625"/>
      <c r="P19" s="625"/>
      <c r="Q19" s="625"/>
      <c r="R19" s="201" t="str">
        <f>ПКО!BW16</f>
        <v xml:space="preserve"> Обеспечительный платеж</v>
      </c>
      <c r="S19" s="201"/>
      <c r="T19" s="201"/>
      <c r="U19" s="201"/>
      <c r="V19" s="201"/>
      <c r="W19" s="201"/>
      <c r="X19" s="201"/>
      <c r="Y19" s="201"/>
      <c r="Z19" s="201"/>
      <c r="AA19" s="201"/>
      <c r="AB19" s="201"/>
      <c r="AC19" s="201"/>
      <c r="AD19" s="201"/>
      <c r="AE19" s="201"/>
      <c r="AF19" s="201"/>
      <c r="AG19" s="201"/>
      <c r="AH19" s="201"/>
      <c r="AI19" s="201"/>
      <c r="AJ19" s="201"/>
      <c r="AK19" s="201"/>
      <c r="AL19" s="201"/>
      <c r="AM19" s="201"/>
      <c r="AN19" s="201"/>
      <c r="AO19" s="625" t="str">
        <f>ПКО!BP17</f>
        <v>Аренда строительного оборудования</v>
      </c>
      <c r="AP19" s="625"/>
      <c r="AQ19" s="625"/>
      <c r="AR19" s="625"/>
      <c r="AS19" s="625"/>
      <c r="AT19" s="625"/>
      <c r="AU19" s="625"/>
      <c r="AV19" s="625"/>
      <c r="AW19" s="625"/>
      <c r="AX19" s="625"/>
      <c r="AY19" s="625"/>
      <c r="AZ19" s="625"/>
      <c r="BA19" s="625"/>
      <c r="BB19" s="625"/>
      <c r="BC19" s="625"/>
      <c r="BD19" s="625"/>
      <c r="BE19" s="625"/>
      <c r="BF19" s="625"/>
      <c r="BG19" s="625"/>
      <c r="BH19" s="625"/>
      <c r="BI19" s="625"/>
      <c r="BJ19" s="625"/>
      <c r="BK19" s="625"/>
      <c r="BL19" s="625"/>
      <c r="BM19" s="625"/>
      <c r="BN19" s="625"/>
      <c r="BO19" s="625"/>
      <c r="BP19" s="625"/>
      <c r="BQ19" s="625"/>
      <c r="BR19" s="625"/>
      <c r="BS19" s="625"/>
      <c r="BT19" s="625"/>
      <c r="BU19" s="625"/>
      <c r="BV19" s="625"/>
      <c r="BW19" s="625"/>
      <c r="BX19" s="625"/>
      <c r="BY19" s="625" t="str">
        <f>ПКО!BP18</f>
        <v>{{TOOL_NAME}}</v>
      </c>
      <c r="BZ19" s="625"/>
      <c r="CA19" s="625"/>
      <c r="CB19" s="625"/>
      <c r="CC19" s="625"/>
      <c r="CD19" s="625"/>
      <c r="CE19" s="625"/>
      <c r="CF19" s="625"/>
      <c r="CG19" s="625"/>
      <c r="CH19" s="625"/>
      <c r="CI19" s="625"/>
      <c r="CJ19" s="625"/>
      <c r="CK19" s="625"/>
      <c r="CL19" s="625"/>
      <c r="CM19" s="625"/>
      <c r="CN19" s="625"/>
      <c r="CO19" s="625"/>
      <c r="CP19" s="625"/>
      <c r="CQ19" s="625"/>
      <c r="CR19" s="625"/>
      <c r="CS19" s="625"/>
      <c r="CT19" s="625"/>
      <c r="CU19" s="625"/>
      <c r="CV19" s="625"/>
      <c r="CW19" s="201"/>
      <c r="CX19" s="201"/>
      <c r="CY19" s="201"/>
      <c r="CZ19" s="201"/>
      <c r="DA19" s="201"/>
      <c r="DB19" s="201"/>
      <c r="DC19" s="201"/>
      <c r="DD19" s="201"/>
      <c r="DE19" s="201"/>
      <c r="DF19" s="201"/>
      <c r="DG19" s="201"/>
      <c r="DH19" s="201"/>
      <c r="DI19" s="201"/>
      <c r="DJ19" s="201"/>
      <c r="DK19" s="214"/>
    </row>
    <row r="20" spans="1:115" ht="17.25" customHeight="1" x14ac:dyDescent="0.2">
      <c r="A20" s="214" t="s">
        <v>113</v>
      </c>
      <c r="B20" s="214"/>
      <c r="C20" s="214"/>
      <c r="D20" s="214"/>
      <c r="E20" s="214"/>
      <c r="F20" s="214"/>
      <c r="G20" s="625" t="e">
        <f ca="1">ПКО!BN23</f>
        <v>#NAME?</v>
      </c>
      <c r="H20" s="625"/>
      <c r="I20" s="625"/>
      <c r="J20" s="625"/>
      <c r="K20" s="625"/>
      <c r="L20" s="625"/>
      <c r="M20" s="625"/>
      <c r="N20" s="625"/>
      <c r="O20" s="625"/>
      <c r="P20" s="625"/>
      <c r="Q20" s="625"/>
      <c r="R20" s="625"/>
      <c r="S20" s="625"/>
      <c r="T20" s="625"/>
      <c r="U20" s="625"/>
      <c r="V20" s="625"/>
      <c r="W20" s="625"/>
      <c r="X20" s="625"/>
      <c r="Y20" s="625"/>
      <c r="Z20" s="625"/>
      <c r="AA20" s="625"/>
      <c r="AB20" s="625"/>
      <c r="AC20" s="625"/>
      <c r="AD20" s="625"/>
      <c r="AE20" s="625"/>
      <c r="AF20" s="625"/>
      <c r="AG20" s="625"/>
      <c r="AH20" s="625"/>
      <c r="AI20" s="625"/>
      <c r="AJ20" s="625"/>
      <c r="AK20" s="625"/>
      <c r="AL20" s="625"/>
      <c r="AM20" s="625"/>
      <c r="AN20" s="625"/>
      <c r="AO20" s="625"/>
      <c r="AP20" s="625"/>
      <c r="AQ20" s="625"/>
      <c r="AR20" s="625"/>
      <c r="AS20" s="625"/>
      <c r="AT20" s="625"/>
      <c r="AU20" s="625"/>
      <c r="AV20" s="625"/>
      <c r="AW20" s="625"/>
      <c r="AX20" s="625"/>
      <c r="AY20" s="625"/>
      <c r="AZ20" s="625"/>
      <c r="BA20" s="625"/>
      <c r="BB20" s="625"/>
      <c r="BC20" s="625"/>
      <c r="BD20" s="625"/>
      <c r="BE20" s="625"/>
      <c r="BF20" s="625"/>
      <c r="BG20" s="625"/>
      <c r="BH20" s="625"/>
      <c r="BI20" s="625"/>
      <c r="BJ20" s="625"/>
      <c r="BK20" s="625"/>
      <c r="BL20" s="625"/>
      <c r="BM20" s="625"/>
      <c r="BN20" s="625"/>
      <c r="BO20" s="625"/>
      <c r="BP20" s="625"/>
      <c r="BQ20" s="625"/>
      <c r="BR20" s="625"/>
      <c r="BS20" s="625"/>
      <c r="BT20" s="625"/>
      <c r="BU20" s="625"/>
      <c r="BV20" s="625"/>
      <c r="BW20" s="625"/>
      <c r="BX20" s="625"/>
      <c r="BY20" s="625"/>
      <c r="BZ20" s="625"/>
      <c r="CA20" s="625"/>
      <c r="CB20" s="625"/>
      <c r="CC20" s="625"/>
      <c r="CD20" s="625"/>
      <c r="CE20" s="625"/>
      <c r="CF20" s="625"/>
      <c r="CG20" s="625"/>
      <c r="CH20" s="625"/>
      <c r="CI20" s="625"/>
      <c r="CJ20" s="625"/>
      <c r="CK20" s="625"/>
      <c r="CL20" s="625"/>
      <c r="CM20" s="625"/>
      <c r="CN20" s="625"/>
      <c r="CO20" s="625"/>
      <c r="CP20" s="625"/>
      <c r="CQ20" s="625"/>
      <c r="CR20" s="625"/>
      <c r="CS20" s="625"/>
      <c r="CT20" s="625"/>
      <c r="CU20" s="625"/>
      <c r="CV20" s="625"/>
      <c r="CW20" s="625"/>
      <c r="CX20" s="625"/>
      <c r="CY20" s="625"/>
      <c r="CZ20" s="625"/>
      <c r="DA20" s="625"/>
      <c r="DB20" s="625"/>
      <c r="DC20" s="625"/>
      <c r="DD20" s="625"/>
      <c r="DE20" s="625"/>
      <c r="DF20" s="625"/>
      <c r="DG20" s="625"/>
      <c r="DH20" s="625"/>
      <c r="DI20" s="625"/>
      <c r="DJ20" s="625"/>
      <c r="DK20" s="215"/>
    </row>
    <row r="21" spans="1:115" s="199" customFormat="1" ht="9.75" x14ac:dyDescent="0.2">
      <c r="A21" s="216"/>
      <c r="B21" s="216"/>
      <c r="C21" s="216"/>
      <c r="D21" s="216"/>
      <c r="E21" s="216"/>
      <c r="F21" s="216"/>
      <c r="G21" s="638" t="s">
        <v>630</v>
      </c>
      <c r="H21" s="638"/>
      <c r="I21" s="638"/>
      <c r="J21" s="638"/>
      <c r="K21" s="638"/>
      <c r="L21" s="638"/>
      <c r="M21" s="638"/>
      <c r="N21" s="638"/>
      <c r="O21" s="638"/>
      <c r="P21" s="638"/>
      <c r="Q21" s="638"/>
      <c r="R21" s="638"/>
      <c r="S21" s="638"/>
      <c r="T21" s="638"/>
      <c r="U21" s="638"/>
      <c r="V21" s="638"/>
      <c r="W21" s="638"/>
      <c r="X21" s="638"/>
      <c r="Y21" s="638"/>
      <c r="Z21" s="638"/>
      <c r="AA21" s="638"/>
      <c r="AB21" s="638"/>
      <c r="AC21" s="638"/>
      <c r="AD21" s="638"/>
      <c r="AE21" s="638"/>
      <c r="AF21" s="638"/>
      <c r="AG21" s="638"/>
      <c r="AH21" s="638"/>
      <c r="AI21" s="638"/>
      <c r="AJ21" s="638"/>
      <c r="AK21" s="638"/>
      <c r="AL21" s="638"/>
      <c r="AM21" s="638"/>
      <c r="AN21" s="638"/>
      <c r="AO21" s="638"/>
      <c r="AP21" s="638"/>
      <c r="AQ21" s="638"/>
      <c r="AR21" s="638"/>
      <c r="AS21" s="638"/>
      <c r="AT21" s="638"/>
      <c r="AU21" s="638"/>
      <c r="AV21" s="638"/>
      <c r="AW21" s="638"/>
      <c r="AX21" s="638"/>
      <c r="AY21" s="638"/>
      <c r="AZ21" s="638"/>
      <c r="BA21" s="638"/>
      <c r="BB21" s="638"/>
      <c r="BC21" s="638"/>
      <c r="BD21" s="638"/>
      <c r="BE21" s="638"/>
      <c r="BF21" s="638"/>
      <c r="BG21" s="638"/>
      <c r="BH21" s="638"/>
      <c r="BI21" s="638"/>
      <c r="BJ21" s="638"/>
      <c r="BK21" s="638"/>
      <c r="BL21" s="638"/>
      <c r="BM21" s="638"/>
      <c r="BN21" s="638"/>
      <c r="BO21" s="638"/>
      <c r="BP21" s="638"/>
      <c r="BQ21" s="638"/>
      <c r="BR21" s="638"/>
      <c r="BS21" s="638"/>
      <c r="BT21" s="638"/>
      <c r="BU21" s="638"/>
      <c r="BV21" s="638"/>
      <c r="BW21" s="638"/>
      <c r="BX21" s="638"/>
      <c r="BY21" s="638"/>
      <c r="BZ21" s="638"/>
      <c r="CA21" s="638"/>
      <c r="CB21" s="638"/>
      <c r="CC21" s="638"/>
      <c r="CD21" s="638"/>
      <c r="CE21" s="638"/>
      <c r="CF21" s="638"/>
      <c r="CG21" s="638"/>
      <c r="CH21" s="638"/>
      <c r="CI21" s="638"/>
      <c r="CJ21" s="638"/>
      <c r="CK21" s="638"/>
      <c r="CL21" s="638"/>
      <c r="CM21" s="638"/>
      <c r="CN21" s="638"/>
      <c r="CO21" s="638"/>
      <c r="CP21" s="638"/>
      <c r="CQ21" s="638"/>
      <c r="CR21" s="638"/>
      <c r="CS21" s="638"/>
      <c r="CT21" s="638"/>
      <c r="CU21" s="638"/>
      <c r="CV21" s="638"/>
      <c r="CW21" s="638"/>
      <c r="CX21" s="638"/>
      <c r="CY21" s="638"/>
      <c r="CZ21" s="638"/>
      <c r="DA21" s="638"/>
      <c r="DB21" s="638"/>
      <c r="DC21" s="638"/>
      <c r="DD21" s="638"/>
      <c r="DE21" s="638"/>
      <c r="DF21" s="638"/>
      <c r="DG21" s="638"/>
      <c r="DH21" s="638"/>
      <c r="DI21" s="638"/>
      <c r="DJ21" s="638"/>
      <c r="DK21" s="217"/>
    </row>
    <row r="22" spans="1:115" ht="12" customHeight="1" x14ac:dyDescent="0.2">
      <c r="A22" s="214" t="s">
        <v>118</v>
      </c>
      <c r="B22" s="214"/>
      <c r="C22" s="214"/>
      <c r="D22" s="214"/>
      <c r="E22" s="214"/>
      <c r="F22" s="214"/>
      <c r="G22" s="214"/>
      <c r="H22" s="214"/>
      <c r="I22" s="214"/>
      <c r="J22" s="214"/>
      <c r="K22" s="214"/>
      <c r="L22" s="625"/>
      <c r="M22" s="625"/>
      <c r="N22" s="625"/>
      <c r="O22" s="625"/>
      <c r="P22" s="625"/>
      <c r="Q22" s="625"/>
      <c r="R22" s="625"/>
      <c r="S22" s="625"/>
      <c r="T22" s="625"/>
      <c r="U22" s="625"/>
      <c r="V22" s="625"/>
      <c r="W22" s="625"/>
      <c r="X22" s="625"/>
      <c r="Y22" s="625"/>
      <c r="Z22" s="625"/>
      <c r="AA22" s="625"/>
      <c r="AB22" s="625"/>
      <c r="AC22" s="625"/>
      <c r="AD22" s="625"/>
      <c r="AE22" s="625"/>
      <c r="AF22" s="625"/>
      <c r="AG22" s="625"/>
      <c r="AH22" s="625"/>
      <c r="AI22" s="625"/>
      <c r="AJ22" s="625"/>
      <c r="AK22" s="625"/>
      <c r="AL22" s="625"/>
      <c r="AM22" s="625"/>
      <c r="AN22" s="625"/>
      <c r="AO22" s="625"/>
      <c r="AP22" s="625"/>
      <c r="AQ22" s="625"/>
      <c r="AR22" s="625"/>
      <c r="AS22" s="625"/>
      <c r="AT22" s="625"/>
      <c r="AU22" s="625"/>
      <c r="AV22" s="625"/>
      <c r="AW22" s="625"/>
      <c r="AX22" s="625"/>
      <c r="AY22" s="625"/>
      <c r="AZ22" s="625"/>
      <c r="BA22" s="625"/>
      <c r="BB22" s="625"/>
      <c r="BC22" s="625"/>
      <c r="BD22" s="625"/>
      <c r="BE22" s="625"/>
      <c r="BF22" s="625"/>
      <c r="BG22" s="625"/>
      <c r="BH22" s="625"/>
      <c r="BI22" s="625"/>
      <c r="BJ22" s="625"/>
      <c r="BK22" s="625"/>
      <c r="BL22" s="625"/>
      <c r="BM22" s="625"/>
      <c r="BN22" s="625"/>
      <c r="BO22" s="625"/>
      <c r="BP22" s="625"/>
      <c r="BQ22" s="625"/>
      <c r="BR22" s="625"/>
      <c r="BS22" s="625"/>
      <c r="BT22" s="625"/>
      <c r="BU22" s="625"/>
      <c r="BV22" s="625"/>
      <c r="BW22" s="625"/>
      <c r="BX22" s="625"/>
      <c r="BY22" s="625"/>
      <c r="BZ22" s="625"/>
      <c r="CA22" s="625"/>
      <c r="CB22" s="625"/>
      <c r="CC22" s="625"/>
      <c r="CD22" s="625"/>
      <c r="CE22" s="625"/>
      <c r="CF22" s="625"/>
      <c r="CG22" s="625"/>
      <c r="CH22" s="625"/>
      <c r="CI22" s="625"/>
      <c r="CJ22" s="625"/>
      <c r="CK22" s="625"/>
      <c r="CL22" s="625"/>
      <c r="CM22" s="625"/>
      <c r="CN22" s="625"/>
      <c r="CO22" s="625"/>
      <c r="CP22" s="625"/>
      <c r="CQ22" s="625"/>
      <c r="CR22" s="625"/>
      <c r="CS22" s="625"/>
      <c r="CT22" s="625"/>
      <c r="CU22" s="625"/>
      <c r="CV22" s="625"/>
      <c r="CW22" s="625"/>
      <c r="CX22" s="625"/>
      <c r="CY22" s="625"/>
      <c r="CZ22" s="625"/>
      <c r="DA22" s="625"/>
      <c r="DB22" s="625"/>
      <c r="DC22" s="625"/>
      <c r="DD22" s="625"/>
      <c r="DE22" s="625"/>
      <c r="DF22" s="625"/>
      <c r="DG22" s="625"/>
      <c r="DH22" s="625"/>
      <c r="DI22" s="625"/>
      <c r="DJ22" s="625"/>
      <c r="DK22" s="215"/>
    </row>
    <row r="23" spans="1:115" ht="18" customHeight="1" x14ac:dyDescent="0.2">
      <c r="A23" s="214" t="s">
        <v>631</v>
      </c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214"/>
      <c r="S23" s="214"/>
      <c r="T23" s="214"/>
      <c r="U23" s="214"/>
      <c r="V23" s="214"/>
      <c r="W23" s="214"/>
      <c r="X23" s="214"/>
      <c r="Y23" s="214"/>
      <c r="Z23" s="627" t="s">
        <v>665</v>
      </c>
      <c r="AA23" s="627"/>
      <c r="AB23" s="627"/>
      <c r="AC23" s="627"/>
      <c r="AD23" s="627"/>
      <c r="AE23" s="627"/>
      <c r="AF23" s="627"/>
      <c r="AG23" s="627"/>
      <c r="AH23" s="627"/>
      <c r="AI23" s="627"/>
      <c r="AJ23" s="627"/>
      <c r="AK23" s="627"/>
      <c r="AL23" s="627"/>
      <c r="AM23" s="627"/>
      <c r="AN23" s="627"/>
      <c r="AO23" s="627"/>
      <c r="AP23" s="627"/>
      <c r="AQ23" s="627"/>
      <c r="AR23" s="627"/>
      <c r="AS23" s="627"/>
      <c r="AT23" s="627"/>
      <c r="AU23" s="627"/>
      <c r="AV23" s="627"/>
      <c r="AW23" s="627"/>
      <c r="AX23" s="214"/>
      <c r="AY23" s="214"/>
      <c r="AZ23" s="627"/>
      <c r="BA23" s="627"/>
      <c r="BB23" s="627"/>
      <c r="BC23" s="627"/>
      <c r="BD23" s="627"/>
      <c r="BE23" s="627"/>
      <c r="BF23" s="627"/>
      <c r="BG23" s="627"/>
      <c r="BH23" s="627"/>
      <c r="BI23" s="627"/>
      <c r="BJ23" s="627"/>
      <c r="BK23" s="627"/>
      <c r="BL23" s="627"/>
      <c r="BM23" s="627"/>
      <c r="BN23" s="627"/>
      <c r="BO23" s="627"/>
      <c r="BP23" s="214"/>
      <c r="BQ23" s="214"/>
      <c r="BR23" s="627" t="str">
        <f>'Пр №1'!A63</f>
        <v>Зинченко М. А.</v>
      </c>
      <c r="BS23" s="627"/>
      <c r="BT23" s="627"/>
      <c r="BU23" s="627"/>
      <c r="BV23" s="627"/>
      <c r="BW23" s="627"/>
      <c r="BX23" s="627"/>
      <c r="BY23" s="627"/>
      <c r="BZ23" s="627"/>
      <c r="CA23" s="627"/>
      <c r="CB23" s="627"/>
      <c r="CC23" s="627"/>
      <c r="CD23" s="627"/>
      <c r="CE23" s="627"/>
      <c r="CF23" s="627"/>
      <c r="CG23" s="627"/>
      <c r="CH23" s="627"/>
      <c r="CI23" s="627"/>
      <c r="CJ23" s="627"/>
      <c r="CK23" s="627"/>
      <c r="CL23" s="627"/>
      <c r="CM23" s="627"/>
      <c r="CN23" s="627"/>
      <c r="CO23" s="627"/>
      <c r="CP23" s="627"/>
      <c r="CQ23" s="214"/>
      <c r="CR23" s="214"/>
      <c r="CS23" s="214"/>
      <c r="CT23" s="214"/>
      <c r="CU23" s="214"/>
      <c r="CV23" s="214"/>
      <c r="CW23" s="214"/>
      <c r="CX23" s="214"/>
      <c r="CY23" s="214"/>
      <c r="CZ23" s="214"/>
      <c r="DA23" s="214"/>
      <c r="DB23" s="214"/>
      <c r="DC23" s="214"/>
      <c r="DD23" s="214"/>
      <c r="DE23" s="214"/>
      <c r="DF23" s="214"/>
      <c r="DG23" s="214"/>
      <c r="DH23" s="214"/>
      <c r="DI23" s="214"/>
      <c r="DJ23" s="214"/>
      <c r="DK23" s="215"/>
    </row>
    <row r="24" spans="1:115" s="199" customFormat="1" ht="9.75" x14ac:dyDescent="0.2">
      <c r="A24" s="216"/>
      <c r="B24" s="216"/>
      <c r="C24" s="216"/>
      <c r="D24" s="216"/>
      <c r="E24" s="216"/>
      <c r="F24" s="216"/>
      <c r="G24" s="216"/>
      <c r="H24" s="216"/>
      <c r="I24" s="216"/>
      <c r="J24" s="216"/>
      <c r="K24" s="216"/>
      <c r="L24" s="216"/>
      <c r="M24" s="216"/>
      <c r="N24" s="216"/>
      <c r="O24" s="216"/>
      <c r="P24" s="216"/>
      <c r="Q24" s="216"/>
      <c r="R24" s="216"/>
      <c r="S24" s="216"/>
      <c r="T24" s="216"/>
      <c r="U24" s="216"/>
      <c r="V24" s="216"/>
      <c r="W24" s="216"/>
      <c r="X24" s="216"/>
      <c r="Y24" s="216"/>
      <c r="Z24" s="638" t="s">
        <v>632</v>
      </c>
      <c r="AA24" s="638"/>
      <c r="AB24" s="638"/>
      <c r="AC24" s="638"/>
      <c r="AD24" s="638"/>
      <c r="AE24" s="638"/>
      <c r="AF24" s="638"/>
      <c r="AG24" s="638"/>
      <c r="AH24" s="638"/>
      <c r="AI24" s="638"/>
      <c r="AJ24" s="638"/>
      <c r="AK24" s="638"/>
      <c r="AL24" s="638"/>
      <c r="AM24" s="638"/>
      <c r="AN24" s="638"/>
      <c r="AO24" s="638"/>
      <c r="AP24" s="638"/>
      <c r="AQ24" s="638"/>
      <c r="AR24" s="638"/>
      <c r="AS24" s="638"/>
      <c r="AT24" s="638"/>
      <c r="AU24" s="638"/>
      <c r="AV24" s="638"/>
      <c r="AW24" s="638"/>
      <c r="AX24" s="216"/>
      <c r="AY24" s="216"/>
      <c r="AZ24" s="638" t="s">
        <v>63</v>
      </c>
      <c r="BA24" s="638"/>
      <c r="BB24" s="638"/>
      <c r="BC24" s="638"/>
      <c r="BD24" s="638"/>
      <c r="BE24" s="638"/>
      <c r="BF24" s="638"/>
      <c r="BG24" s="638"/>
      <c r="BH24" s="638"/>
      <c r="BI24" s="638"/>
      <c r="BJ24" s="638"/>
      <c r="BK24" s="638"/>
      <c r="BL24" s="638"/>
      <c r="BM24" s="638"/>
      <c r="BN24" s="638"/>
      <c r="BO24" s="638"/>
      <c r="BP24" s="216"/>
      <c r="BQ24" s="216"/>
      <c r="BR24" s="638" t="s">
        <v>121</v>
      </c>
      <c r="BS24" s="638"/>
      <c r="BT24" s="638"/>
      <c r="BU24" s="638"/>
      <c r="BV24" s="638"/>
      <c r="BW24" s="638"/>
      <c r="BX24" s="638"/>
      <c r="BY24" s="638"/>
      <c r="BZ24" s="638"/>
      <c r="CA24" s="638"/>
      <c r="CB24" s="638"/>
      <c r="CC24" s="638"/>
      <c r="CD24" s="638"/>
      <c r="CE24" s="638"/>
      <c r="CF24" s="638"/>
      <c r="CG24" s="638"/>
      <c r="CH24" s="638"/>
      <c r="CI24" s="638"/>
      <c r="CJ24" s="638"/>
      <c r="CK24" s="638"/>
      <c r="CL24" s="638"/>
      <c r="CM24" s="638"/>
      <c r="CN24" s="638"/>
      <c r="CO24" s="638"/>
      <c r="CP24" s="638"/>
      <c r="CQ24" s="216"/>
      <c r="CR24" s="216"/>
      <c r="CS24" s="216"/>
      <c r="CT24" s="216"/>
      <c r="CU24" s="216"/>
      <c r="CV24" s="216"/>
      <c r="CW24" s="216"/>
      <c r="CX24" s="216"/>
      <c r="CY24" s="216"/>
      <c r="CZ24" s="216"/>
      <c r="DA24" s="216"/>
      <c r="DB24" s="216"/>
      <c r="DC24" s="216"/>
      <c r="DD24" s="216"/>
      <c r="DE24" s="216"/>
      <c r="DF24" s="216"/>
      <c r="DG24" s="216"/>
      <c r="DH24" s="216"/>
      <c r="DI24" s="216"/>
      <c r="DJ24" s="216"/>
      <c r="DK24" s="217"/>
    </row>
    <row r="25" spans="1:115" x14ac:dyDescent="0.2">
      <c r="A25" s="214" t="s">
        <v>120</v>
      </c>
      <c r="B25" s="214"/>
      <c r="C25" s="214"/>
      <c r="D25" s="214"/>
      <c r="E25" s="214"/>
      <c r="F25" s="214"/>
      <c r="G25" s="214"/>
      <c r="H25" s="214"/>
      <c r="I25" s="214"/>
      <c r="J25" s="214"/>
      <c r="K25" s="214"/>
      <c r="L25" s="214"/>
      <c r="M25" s="214"/>
      <c r="N25" s="214"/>
      <c r="O25" s="214"/>
      <c r="P25" s="214"/>
      <c r="Q25" s="214"/>
      <c r="R25" s="214"/>
      <c r="S25" s="625"/>
      <c r="T25" s="625"/>
      <c r="U25" s="625"/>
      <c r="V25" s="625"/>
      <c r="W25" s="625"/>
      <c r="X25" s="625"/>
      <c r="Y25" s="625"/>
      <c r="Z25" s="625"/>
      <c r="AA25" s="625"/>
      <c r="AB25" s="625"/>
      <c r="AC25" s="625"/>
      <c r="AD25" s="625"/>
      <c r="AE25" s="625"/>
      <c r="AF25" s="625"/>
      <c r="AG25" s="625"/>
      <c r="AH25" s="625"/>
      <c r="AI25" s="214"/>
      <c r="AJ25" s="214"/>
      <c r="AK25" s="625" t="str">
        <f>ПКО!CG36</f>
        <v>Купрей А. А.</v>
      </c>
      <c r="AL25" s="625"/>
      <c r="AM25" s="625"/>
      <c r="AN25" s="625"/>
      <c r="AO25" s="625"/>
      <c r="AP25" s="625"/>
      <c r="AQ25" s="625"/>
      <c r="AR25" s="625"/>
      <c r="AS25" s="625"/>
      <c r="AT25" s="625"/>
      <c r="AU25" s="625"/>
      <c r="AV25" s="625"/>
      <c r="AW25" s="625"/>
      <c r="AX25" s="625"/>
      <c r="AY25" s="625"/>
      <c r="AZ25" s="625"/>
      <c r="BA25" s="625"/>
      <c r="BB25" s="625"/>
      <c r="BC25" s="625"/>
      <c r="BD25" s="625"/>
      <c r="BE25" s="625"/>
      <c r="BF25" s="625"/>
      <c r="BG25" s="625"/>
      <c r="BH25" s="625"/>
      <c r="BI25" s="625"/>
      <c r="BJ25" s="214"/>
      <c r="BK25" s="214"/>
      <c r="BL25" s="214"/>
      <c r="BM25" s="214"/>
      <c r="BN25" s="214"/>
      <c r="BO25" s="214"/>
      <c r="BP25" s="214"/>
      <c r="BQ25" s="214"/>
      <c r="BR25" s="214"/>
      <c r="BS25" s="214"/>
      <c r="BT25" s="214"/>
      <c r="BU25" s="214"/>
      <c r="BV25" s="214"/>
      <c r="BW25" s="214"/>
      <c r="BX25" s="214"/>
      <c r="BY25" s="214"/>
      <c r="BZ25" s="214"/>
      <c r="CA25" s="214"/>
      <c r="CB25" s="214"/>
      <c r="CC25" s="214"/>
      <c r="CD25" s="214"/>
      <c r="CE25" s="214"/>
      <c r="CF25" s="214"/>
      <c r="CG25" s="214"/>
      <c r="CH25" s="214"/>
      <c r="CI25" s="214"/>
      <c r="CJ25" s="214"/>
      <c r="CK25" s="214"/>
      <c r="CL25" s="214"/>
      <c r="CM25" s="214"/>
      <c r="CN25" s="214"/>
      <c r="CO25" s="214"/>
      <c r="CP25" s="214"/>
      <c r="CQ25" s="214"/>
      <c r="CR25" s="214"/>
      <c r="CS25" s="214"/>
      <c r="CT25" s="214"/>
      <c r="CU25" s="214"/>
      <c r="CV25" s="214"/>
      <c r="CW25" s="214"/>
      <c r="CX25" s="214"/>
      <c r="CY25" s="214"/>
      <c r="CZ25" s="214"/>
      <c r="DA25" s="214"/>
      <c r="DB25" s="214"/>
      <c r="DC25" s="214"/>
      <c r="DD25" s="214"/>
      <c r="DE25" s="214"/>
      <c r="DF25" s="214"/>
      <c r="DG25" s="214"/>
      <c r="DH25" s="214"/>
      <c r="DI25" s="214"/>
      <c r="DJ25" s="214"/>
      <c r="DK25" s="215"/>
    </row>
    <row r="26" spans="1:115" s="199" customFormat="1" ht="9.75" x14ac:dyDescent="0.2">
      <c r="A26" s="216"/>
      <c r="B26" s="216"/>
      <c r="C26" s="216"/>
      <c r="D26" s="216"/>
      <c r="E26" s="216"/>
      <c r="F26" s="216"/>
      <c r="G26" s="216"/>
      <c r="H26" s="216"/>
      <c r="I26" s="216"/>
      <c r="J26" s="216"/>
      <c r="K26" s="216"/>
      <c r="L26" s="216"/>
      <c r="M26" s="216"/>
      <c r="N26" s="216"/>
      <c r="O26" s="216"/>
      <c r="P26" s="216"/>
      <c r="Q26" s="216"/>
      <c r="R26" s="216"/>
      <c r="S26" s="638" t="s">
        <v>63</v>
      </c>
      <c r="T26" s="638"/>
      <c r="U26" s="638"/>
      <c r="V26" s="638"/>
      <c r="W26" s="638"/>
      <c r="X26" s="638"/>
      <c r="Y26" s="638"/>
      <c r="Z26" s="638"/>
      <c r="AA26" s="638"/>
      <c r="AB26" s="638"/>
      <c r="AC26" s="638"/>
      <c r="AD26" s="638"/>
      <c r="AE26" s="638"/>
      <c r="AF26" s="638"/>
      <c r="AG26" s="638"/>
      <c r="AH26" s="638"/>
      <c r="AI26" s="216"/>
      <c r="AJ26" s="216"/>
      <c r="AK26" s="638" t="s">
        <v>121</v>
      </c>
      <c r="AL26" s="638"/>
      <c r="AM26" s="638"/>
      <c r="AN26" s="638"/>
      <c r="AO26" s="638"/>
      <c r="AP26" s="638"/>
      <c r="AQ26" s="638"/>
      <c r="AR26" s="638"/>
      <c r="AS26" s="638"/>
      <c r="AT26" s="638"/>
      <c r="AU26" s="638"/>
      <c r="AV26" s="638"/>
      <c r="AW26" s="638"/>
      <c r="AX26" s="638"/>
      <c r="AY26" s="638"/>
      <c r="AZ26" s="638"/>
      <c r="BA26" s="638"/>
      <c r="BB26" s="638"/>
      <c r="BC26" s="638"/>
      <c r="BD26" s="638"/>
      <c r="BE26" s="638"/>
      <c r="BF26" s="638"/>
      <c r="BG26" s="638"/>
      <c r="BH26" s="638"/>
      <c r="BI26" s="638"/>
      <c r="BJ26" s="216"/>
      <c r="BK26" s="216"/>
      <c r="BL26" s="216"/>
      <c r="BM26" s="216"/>
      <c r="BN26" s="216"/>
      <c r="BO26" s="216"/>
      <c r="BP26" s="216"/>
      <c r="BQ26" s="216"/>
      <c r="BR26" s="216"/>
      <c r="BS26" s="216"/>
      <c r="BT26" s="216"/>
      <c r="BU26" s="216"/>
      <c r="BV26" s="216"/>
      <c r="BW26" s="216"/>
      <c r="BX26" s="216"/>
      <c r="BY26" s="216"/>
      <c r="BZ26" s="216"/>
      <c r="CA26" s="216"/>
      <c r="CB26" s="216"/>
      <c r="CC26" s="216"/>
      <c r="CD26" s="216"/>
      <c r="CE26" s="216"/>
      <c r="CF26" s="216"/>
      <c r="CG26" s="216"/>
      <c r="CH26" s="216"/>
      <c r="CI26" s="216"/>
      <c r="CJ26" s="216"/>
      <c r="CK26" s="216"/>
      <c r="CL26" s="216"/>
      <c r="CM26" s="216"/>
      <c r="CN26" s="216"/>
      <c r="CO26" s="216"/>
      <c r="CP26" s="216"/>
      <c r="CQ26" s="216"/>
      <c r="CR26" s="216"/>
      <c r="CS26" s="216"/>
      <c r="CT26" s="216"/>
      <c r="CU26" s="216"/>
      <c r="CV26" s="216"/>
      <c r="CW26" s="216"/>
      <c r="CX26" s="216"/>
      <c r="CY26" s="216"/>
      <c r="CZ26" s="216"/>
      <c r="DA26" s="216"/>
      <c r="DB26" s="216"/>
      <c r="DC26" s="216"/>
      <c r="DD26" s="216"/>
      <c r="DE26" s="216"/>
      <c r="DF26" s="216"/>
      <c r="DG26" s="216"/>
      <c r="DH26" s="216"/>
      <c r="DI26" s="216"/>
      <c r="DJ26" s="216"/>
      <c r="DK26" s="217"/>
    </row>
    <row r="27" spans="1:115" x14ac:dyDescent="0.2">
      <c r="A27" s="214" t="s">
        <v>633</v>
      </c>
      <c r="B27" s="214"/>
      <c r="C27" s="214"/>
      <c r="D27" s="214"/>
      <c r="E27" s="214"/>
      <c r="F27" s="214"/>
      <c r="G27" s="214"/>
      <c r="H27" s="214"/>
      <c r="I27" s="625" t="e">
        <f ca="1">G20</f>
        <v>#NAME?</v>
      </c>
      <c r="J27" s="625"/>
      <c r="K27" s="625"/>
      <c r="L27" s="625"/>
      <c r="M27" s="625"/>
      <c r="N27" s="625"/>
      <c r="O27" s="625"/>
      <c r="P27" s="625"/>
      <c r="Q27" s="625"/>
      <c r="R27" s="625"/>
      <c r="S27" s="625"/>
      <c r="T27" s="625"/>
      <c r="U27" s="625"/>
      <c r="V27" s="625"/>
      <c r="W27" s="625"/>
      <c r="X27" s="625"/>
      <c r="Y27" s="625"/>
      <c r="Z27" s="625"/>
      <c r="AA27" s="625"/>
      <c r="AB27" s="625"/>
      <c r="AC27" s="625"/>
      <c r="AD27" s="625"/>
      <c r="AE27" s="625"/>
      <c r="AF27" s="625"/>
      <c r="AG27" s="625"/>
      <c r="AH27" s="625"/>
      <c r="AI27" s="625"/>
      <c r="AJ27" s="625"/>
      <c r="AK27" s="625"/>
      <c r="AL27" s="625"/>
      <c r="AM27" s="625"/>
      <c r="AN27" s="625"/>
      <c r="AO27" s="625"/>
      <c r="AP27" s="625"/>
      <c r="AQ27" s="625"/>
      <c r="AR27" s="625"/>
      <c r="AS27" s="625"/>
      <c r="AT27" s="625"/>
      <c r="AU27" s="625"/>
      <c r="AV27" s="625"/>
      <c r="AW27" s="625"/>
      <c r="AX27" s="625"/>
      <c r="AY27" s="625"/>
      <c r="AZ27" s="625"/>
      <c r="BA27" s="625"/>
      <c r="BB27" s="625"/>
      <c r="BC27" s="625"/>
      <c r="BD27" s="625"/>
      <c r="BE27" s="625"/>
      <c r="BF27" s="625"/>
      <c r="BG27" s="625"/>
      <c r="BH27" s="625"/>
      <c r="BI27" s="625"/>
      <c r="BJ27" s="625"/>
      <c r="BK27" s="625"/>
      <c r="BL27" s="625"/>
      <c r="BM27" s="625"/>
      <c r="BN27" s="625"/>
      <c r="BO27" s="625"/>
      <c r="BP27" s="625"/>
      <c r="BQ27" s="625"/>
      <c r="BR27" s="625"/>
      <c r="BS27" s="625"/>
      <c r="BT27" s="625"/>
      <c r="BU27" s="625"/>
      <c r="BV27" s="625"/>
      <c r="BW27" s="625"/>
      <c r="BX27" s="625"/>
      <c r="BY27" s="625"/>
      <c r="BZ27" s="625"/>
      <c r="CA27" s="625"/>
      <c r="CB27" s="625"/>
      <c r="CC27" s="625"/>
      <c r="CD27" s="625"/>
      <c r="CE27" s="625"/>
      <c r="CF27" s="625"/>
      <c r="CG27" s="625"/>
      <c r="CH27" s="625"/>
      <c r="CI27" s="625"/>
      <c r="CJ27" s="625"/>
      <c r="CK27" s="625"/>
      <c r="CL27" s="625"/>
      <c r="CM27" s="625"/>
      <c r="CN27" s="625"/>
      <c r="CO27" s="625"/>
      <c r="CP27" s="625"/>
      <c r="CQ27" s="625"/>
      <c r="CR27" s="625"/>
      <c r="CS27" s="625"/>
      <c r="CT27" s="625"/>
      <c r="CU27" s="625"/>
      <c r="CV27" s="625"/>
      <c r="CW27" s="625"/>
      <c r="CX27" s="625"/>
      <c r="CY27" s="625"/>
      <c r="CZ27" s="625"/>
      <c r="DA27" s="625"/>
      <c r="DB27" s="625"/>
      <c r="DC27" s="625"/>
      <c r="DD27" s="625"/>
      <c r="DE27" s="625"/>
      <c r="DF27" s="625"/>
      <c r="DG27" s="625"/>
      <c r="DH27" s="625"/>
      <c r="DI27" s="625"/>
      <c r="DJ27" s="625"/>
      <c r="DK27" s="215"/>
    </row>
    <row r="28" spans="1:115" s="199" customFormat="1" ht="9.75" x14ac:dyDescent="0.2">
      <c r="A28" s="216"/>
      <c r="B28" s="216"/>
      <c r="C28" s="216"/>
      <c r="D28" s="216"/>
      <c r="E28" s="216"/>
      <c r="F28" s="216"/>
      <c r="G28" s="216"/>
      <c r="H28" s="216"/>
      <c r="I28" s="668" t="s">
        <v>634</v>
      </c>
      <c r="J28" s="668"/>
      <c r="K28" s="668"/>
      <c r="L28" s="668"/>
      <c r="M28" s="668"/>
      <c r="N28" s="668"/>
      <c r="O28" s="668"/>
      <c r="P28" s="668"/>
      <c r="Q28" s="668"/>
      <c r="R28" s="668"/>
      <c r="S28" s="668"/>
      <c r="T28" s="668"/>
      <c r="U28" s="668"/>
      <c r="V28" s="668"/>
      <c r="W28" s="668"/>
      <c r="X28" s="668"/>
      <c r="Y28" s="668"/>
      <c r="Z28" s="668"/>
      <c r="AA28" s="668"/>
      <c r="AB28" s="668"/>
      <c r="AC28" s="668"/>
      <c r="AD28" s="668"/>
      <c r="AE28" s="668"/>
      <c r="AF28" s="668"/>
      <c r="AG28" s="668"/>
      <c r="AH28" s="668"/>
      <c r="AI28" s="668"/>
      <c r="AJ28" s="668"/>
      <c r="AK28" s="668"/>
      <c r="AL28" s="668"/>
      <c r="AM28" s="668"/>
      <c r="AN28" s="668"/>
      <c r="AO28" s="668"/>
      <c r="AP28" s="668"/>
      <c r="AQ28" s="668"/>
      <c r="AR28" s="668"/>
      <c r="AS28" s="668"/>
      <c r="AT28" s="668"/>
      <c r="AU28" s="668"/>
      <c r="AV28" s="668"/>
      <c r="AW28" s="668"/>
      <c r="AX28" s="668"/>
      <c r="AY28" s="668"/>
      <c r="AZ28" s="668"/>
      <c r="BA28" s="668"/>
      <c r="BB28" s="668"/>
      <c r="BC28" s="668"/>
      <c r="BD28" s="668"/>
      <c r="BE28" s="668"/>
      <c r="BF28" s="668"/>
      <c r="BG28" s="668"/>
      <c r="BH28" s="668"/>
      <c r="BI28" s="668"/>
      <c r="BJ28" s="668"/>
      <c r="BK28" s="668"/>
      <c r="BL28" s="668"/>
      <c r="BM28" s="668"/>
      <c r="BN28" s="668"/>
      <c r="BO28" s="668"/>
      <c r="BP28" s="668"/>
      <c r="BQ28" s="668"/>
      <c r="BR28" s="668"/>
      <c r="BS28" s="668"/>
      <c r="BT28" s="668"/>
      <c r="BU28" s="668"/>
      <c r="BV28" s="668"/>
      <c r="BW28" s="668"/>
      <c r="BX28" s="668"/>
      <c r="BY28" s="668"/>
      <c r="BZ28" s="668"/>
      <c r="CA28" s="668"/>
      <c r="CB28" s="668"/>
      <c r="CC28" s="668"/>
      <c r="CD28" s="668"/>
      <c r="CE28" s="668"/>
      <c r="CF28" s="668"/>
      <c r="CG28" s="668"/>
      <c r="CH28" s="668"/>
      <c r="CI28" s="668"/>
      <c r="CJ28" s="668"/>
      <c r="CK28" s="668"/>
      <c r="CL28" s="668"/>
      <c r="CM28" s="668"/>
      <c r="CN28" s="668"/>
      <c r="CO28" s="668"/>
      <c r="CP28" s="668"/>
      <c r="CQ28" s="668"/>
      <c r="CR28" s="668"/>
      <c r="CS28" s="668"/>
      <c r="CT28" s="668"/>
      <c r="CU28" s="668"/>
      <c r="CV28" s="668"/>
      <c r="CW28" s="668"/>
      <c r="CX28" s="668"/>
      <c r="CY28" s="668"/>
      <c r="CZ28" s="668"/>
      <c r="DA28" s="668"/>
      <c r="DB28" s="668"/>
      <c r="DC28" s="668"/>
      <c r="DD28" s="668"/>
      <c r="DE28" s="668"/>
      <c r="DF28" s="668"/>
      <c r="DG28" s="668"/>
      <c r="DH28" s="668"/>
      <c r="DI28" s="668"/>
      <c r="DJ28" s="668"/>
      <c r="DK28" s="217"/>
    </row>
    <row r="29" spans="1:115" ht="17.25" customHeight="1" x14ac:dyDescent="0.2">
      <c r="A29" s="214" t="s">
        <v>635</v>
      </c>
      <c r="B29" s="214"/>
      <c r="C29" s="625">
        <f ca="1">BU11</f>
        <v>21</v>
      </c>
      <c r="D29" s="625"/>
      <c r="E29" s="625"/>
      <c r="F29" s="625"/>
      <c r="G29" s="218" t="s">
        <v>635</v>
      </c>
      <c r="H29" s="218"/>
      <c r="I29" s="218"/>
      <c r="J29" s="625" t="str">
        <f ca="1">Дог.!L13</f>
        <v>Ноябрь</v>
      </c>
      <c r="K29" s="625"/>
      <c r="L29" s="625"/>
      <c r="M29" s="625"/>
      <c r="N29" s="625"/>
      <c r="O29" s="625"/>
      <c r="P29" s="625"/>
      <c r="Q29" s="625"/>
      <c r="R29" s="625"/>
      <c r="S29" s="625"/>
      <c r="T29" s="625"/>
      <c r="U29" s="625"/>
      <c r="V29" s="625"/>
      <c r="W29" s="625"/>
      <c r="X29" s="625"/>
      <c r="Y29" s="625"/>
      <c r="Z29" s="625"/>
      <c r="AA29" s="625"/>
      <c r="AB29" s="218"/>
      <c r="AC29" s="625">
        <f ca="1">CD11</f>
        <v>2025</v>
      </c>
      <c r="AD29" s="625"/>
      <c r="AE29" s="625"/>
      <c r="AF29" s="625"/>
      <c r="AG29" s="625"/>
      <c r="AH29" s="625"/>
      <c r="AI29" s="625"/>
      <c r="AJ29" s="214" t="s">
        <v>636</v>
      </c>
      <c r="AK29" s="214"/>
      <c r="AL29" s="214"/>
      <c r="AM29" s="214"/>
      <c r="AN29" s="214"/>
      <c r="AO29" s="214"/>
      <c r="AP29" s="214"/>
      <c r="AQ29" s="214"/>
      <c r="AR29" s="214"/>
      <c r="AS29" s="214"/>
      <c r="AT29" s="214"/>
      <c r="AU29" s="214"/>
      <c r="AV29" s="214"/>
      <c r="AW29" s="214"/>
      <c r="AX29" s="214"/>
      <c r="AY29" s="214"/>
      <c r="AZ29" s="214"/>
      <c r="BA29" s="214" t="s">
        <v>637</v>
      </c>
      <c r="BB29" s="214"/>
      <c r="BC29" s="214"/>
      <c r="BD29" s="214"/>
      <c r="BE29" s="214"/>
      <c r="BF29" s="214"/>
      <c r="BG29" s="214"/>
      <c r="BH29" s="214"/>
      <c r="BI29" s="214"/>
      <c r="BJ29" s="625"/>
      <c r="BK29" s="625"/>
      <c r="BL29" s="625"/>
      <c r="BM29" s="625"/>
      <c r="BN29" s="625"/>
      <c r="BO29" s="625"/>
      <c r="BP29" s="625"/>
      <c r="BQ29" s="625"/>
      <c r="BR29" s="625"/>
      <c r="BS29" s="625"/>
      <c r="BT29" s="625"/>
      <c r="BU29" s="625"/>
      <c r="BV29" s="625"/>
      <c r="BW29" s="625"/>
      <c r="BX29" s="625"/>
      <c r="BY29" s="625"/>
      <c r="BZ29" s="625"/>
      <c r="CA29" s="625"/>
      <c r="CB29" s="214"/>
      <c r="CC29" s="214"/>
      <c r="CD29" s="214"/>
      <c r="CE29" s="214"/>
      <c r="CF29" s="214"/>
      <c r="CG29" s="214"/>
      <c r="CH29" s="214"/>
      <c r="CI29" s="214"/>
      <c r="CJ29" s="214"/>
      <c r="CK29" s="214"/>
      <c r="CL29" s="214"/>
      <c r="CM29" s="214"/>
      <c r="CN29" s="214"/>
      <c r="CO29" s="214"/>
      <c r="CP29" s="214"/>
      <c r="CQ29" s="214"/>
      <c r="CR29" s="214"/>
      <c r="CS29" s="214"/>
      <c r="CT29" s="214"/>
      <c r="CU29" s="214"/>
      <c r="CV29" s="214"/>
      <c r="CW29" s="214"/>
      <c r="CX29" s="214"/>
      <c r="CY29" s="214"/>
      <c r="CZ29" s="214"/>
      <c r="DA29" s="214"/>
      <c r="DB29" s="214"/>
      <c r="DC29" s="214"/>
      <c r="DD29" s="214"/>
      <c r="DE29" s="214"/>
      <c r="DF29" s="214"/>
      <c r="DG29" s="214"/>
      <c r="DH29" s="214"/>
      <c r="DI29" s="214"/>
      <c r="DJ29" s="214"/>
      <c r="DK29" s="215"/>
    </row>
    <row r="30" spans="1:115" ht="21" customHeight="1" x14ac:dyDescent="0.2">
      <c r="A30" s="214" t="s">
        <v>638</v>
      </c>
      <c r="B30" s="214"/>
      <c r="C30" s="214"/>
      <c r="D30" s="625" t="s">
        <v>640</v>
      </c>
      <c r="E30" s="625"/>
      <c r="F30" s="625"/>
      <c r="G30" s="625"/>
      <c r="H30" s="625"/>
      <c r="I30" s="625"/>
      <c r="J30" s="625"/>
      <c r="K30" s="625"/>
      <c r="L30" s="625"/>
      <c r="M30" s="625"/>
      <c r="N30" s="625"/>
      <c r="O30" s="625"/>
      <c r="P30" s="625"/>
      <c r="Q30" s="625"/>
      <c r="R30" s="627" t="str">
        <f>Дог.!E19</f>
        <v>ХХХ</v>
      </c>
      <c r="S30" s="627"/>
      <c r="T30" s="627"/>
      <c r="U30" s="627"/>
      <c r="V30" s="627" t="str">
        <f>Дог.!F19</f>
        <v>№</v>
      </c>
      <c r="W30" s="627"/>
      <c r="X30" s="627"/>
      <c r="Y30" s="627"/>
      <c r="Z30" s="625" t="str">
        <f>Дог.!G19</f>
        <v>ХХХХХ</v>
      </c>
      <c r="AA30" s="625"/>
      <c r="AB30" s="625"/>
      <c r="AC30" s="625"/>
      <c r="AD30" s="625"/>
      <c r="AE30" s="625"/>
      <c r="AF30" s="625"/>
      <c r="AG30" s="625"/>
      <c r="AH30" s="625"/>
      <c r="AI30" s="625"/>
      <c r="AJ30" s="625" t="str">
        <f>Дог.!I19</f>
        <v>выдан</v>
      </c>
      <c r="AK30" s="625"/>
      <c r="AL30" s="625"/>
      <c r="AM30" s="625"/>
      <c r="AN30" s="625"/>
      <c r="AO30" s="625"/>
      <c r="AP30" s="625"/>
      <c r="AQ30" s="625"/>
      <c r="AR30" s="625"/>
      <c r="AS30" s="625" t="str">
        <f>Дог.!J19</f>
        <v>МКК</v>
      </c>
      <c r="AT30" s="625"/>
      <c r="AU30" s="625"/>
      <c r="AV30" s="625"/>
      <c r="AW30" s="625"/>
      <c r="AX30" s="625"/>
      <c r="AY30" s="625" t="str">
        <f>Дог.!K19</f>
        <v>ХХХХ</v>
      </c>
      <c r="AZ30" s="625"/>
      <c r="BA30" s="625"/>
      <c r="BB30" s="625"/>
      <c r="BC30" s="625"/>
      <c r="BD30" s="625"/>
      <c r="BE30" s="625"/>
      <c r="BF30" s="625"/>
      <c r="BG30" s="625" t="str">
        <f>Дог.!L19</f>
        <v>от</v>
      </c>
      <c r="BH30" s="625"/>
      <c r="BI30" s="625"/>
      <c r="BJ30" s="625"/>
      <c r="BK30" s="625"/>
      <c r="BL30" s="626" t="str">
        <f>Дог.!M19</f>
        <v>ХХХХ</v>
      </c>
      <c r="BM30" s="627"/>
      <c r="BN30" s="627"/>
      <c r="BO30" s="627"/>
      <c r="BP30" s="627"/>
      <c r="BQ30" s="627"/>
      <c r="BR30" s="627"/>
      <c r="BS30" s="627"/>
      <c r="BT30" s="627"/>
      <c r="BU30" s="625" t="str">
        <f>Дог.!N19</f>
        <v>зарегистрированный(-ая)</v>
      </c>
      <c r="BV30" s="625"/>
      <c r="BW30" s="625"/>
      <c r="BX30" s="625"/>
      <c r="BY30" s="625"/>
      <c r="BZ30" s="625"/>
      <c r="CA30" s="625"/>
      <c r="CB30" s="625"/>
      <c r="CC30" s="625"/>
      <c r="CD30" s="625"/>
      <c r="CE30" s="625"/>
      <c r="CF30" s="625"/>
      <c r="CG30" s="625"/>
      <c r="CH30" s="625"/>
      <c r="CI30" s="625"/>
      <c r="CJ30" s="625"/>
      <c r="CK30" s="625"/>
      <c r="CL30" s="625"/>
      <c r="CM30" s="625"/>
      <c r="CN30" s="625"/>
      <c r="CO30" s="625"/>
      <c r="CP30" s="625" t="str">
        <f>Дог.!A20</f>
        <v>по адресу:</v>
      </c>
      <c r="CQ30" s="625"/>
      <c r="CR30" s="625"/>
      <c r="CS30" s="625"/>
      <c r="CT30" s="625"/>
      <c r="CU30" s="625"/>
      <c r="CV30" s="625"/>
      <c r="CW30" s="625"/>
      <c r="CX30" s="625"/>
      <c r="CY30" s="625"/>
      <c r="CZ30" s="625"/>
      <c r="DA30" s="625"/>
      <c r="DB30" s="201"/>
      <c r="DC30" s="201"/>
      <c r="DD30" s="201"/>
      <c r="DE30" s="201"/>
      <c r="DF30" s="201"/>
      <c r="DG30" s="201"/>
      <c r="DH30" s="201"/>
      <c r="DI30" s="201"/>
      <c r="DJ30" s="201"/>
      <c r="DK30" s="215"/>
    </row>
    <row r="31" spans="1:115" s="199" customFormat="1" ht="9.75" x14ac:dyDescent="0.2">
      <c r="A31" s="216"/>
      <c r="B31" s="216"/>
      <c r="C31" s="216"/>
      <c r="D31" s="638" t="s">
        <v>643</v>
      </c>
      <c r="E31" s="638"/>
      <c r="F31" s="638"/>
      <c r="G31" s="638"/>
      <c r="H31" s="638"/>
      <c r="I31" s="638"/>
      <c r="J31" s="638"/>
      <c r="K31" s="638"/>
      <c r="L31" s="638"/>
      <c r="M31" s="638"/>
      <c r="N31" s="638"/>
      <c r="O31" s="638"/>
      <c r="P31" s="638"/>
      <c r="Q31" s="638"/>
      <c r="R31" s="638"/>
      <c r="S31" s="638"/>
      <c r="T31" s="638"/>
      <c r="U31" s="638"/>
      <c r="V31" s="638"/>
      <c r="W31" s="638"/>
      <c r="X31" s="638"/>
      <c r="Y31" s="638"/>
      <c r="Z31" s="638"/>
      <c r="AA31" s="638"/>
      <c r="AB31" s="638"/>
      <c r="AC31" s="638"/>
      <c r="AD31" s="638"/>
      <c r="AE31" s="638"/>
      <c r="AF31" s="638"/>
      <c r="AG31" s="638"/>
      <c r="AH31" s="638"/>
      <c r="AI31" s="638"/>
      <c r="AJ31" s="638"/>
      <c r="AK31" s="638"/>
      <c r="AL31" s="638"/>
      <c r="AM31" s="638"/>
      <c r="AN31" s="638"/>
      <c r="AO31" s="638"/>
      <c r="AP31" s="638"/>
      <c r="AQ31" s="638"/>
      <c r="AR31" s="638"/>
      <c r="AS31" s="638"/>
      <c r="AT31" s="638"/>
      <c r="AU31" s="638"/>
      <c r="AV31" s="638"/>
      <c r="AW31" s="638"/>
      <c r="AX31" s="638"/>
      <c r="AY31" s="638"/>
      <c r="AZ31" s="638"/>
      <c r="BA31" s="638"/>
      <c r="BB31" s="638"/>
      <c r="BC31" s="638"/>
      <c r="BD31" s="638"/>
      <c r="BE31" s="638"/>
      <c r="BF31" s="638"/>
      <c r="BG31" s="638"/>
      <c r="BH31" s="638"/>
      <c r="BI31" s="638"/>
      <c r="BJ31" s="638"/>
      <c r="BK31" s="638"/>
      <c r="BL31" s="638"/>
      <c r="BM31" s="638"/>
      <c r="BN31" s="638"/>
      <c r="BO31" s="638"/>
      <c r="BP31" s="638"/>
      <c r="BQ31" s="638"/>
      <c r="BR31" s="638"/>
      <c r="BS31" s="638"/>
      <c r="BT31" s="638"/>
      <c r="BU31" s="638"/>
      <c r="BV31" s="638"/>
      <c r="BW31" s="638"/>
      <c r="BX31" s="638"/>
      <c r="BY31" s="638"/>
      <c r="BZ31" s="638"/>
      <c r="CA31" s="638"/>
      <c r="CB31" s="638"/>
      <c r="CC31" s="638"/>
      <c r="CD31" s="638"/>
      <c r="CE31" s="638"/>
      <c r="CF31" s="638"/>
      <c r="CG31" s="638"/>
      <c r="CH31" s="638"/>
      <c r="CI31" s="638"/>
      <c r="CJ31" s="638"/>
      <c r="CK31" s="638"/>
      <c r="CL31" s="638"/>
      <c r="CM31" s="638"/>
      <c r="CN31" s="638"/>
      <c r="CO31" s="638"/>
      <c r="CP31" s="638"/>
      <c r="CQ31" s="638"/>
      <c r="CR31" s="638"/>
      <c r="CS31" s="638"/>
      <c r="CT31" s="638"/>
      <c r="CU31" s="638"/>
      <c r="CV31" s="638"/>
      <c r="CW31" s="638"/>
      <c r="CX31" s="638"/>
      <c r="CY31" s="638"/>
      <c r="CZ31" s="638"/>
      <c r="DA31" s="638"/>
      <c r="DB31" s="638"/>
      <c r="DC31" s="638"/>
      <c r="DD31" s="638"/>
      <c r="DE31" s="638"/>
      <c r="DF31" s="638"/>
      <c r="DG31" s="638"/>
      <c r="DH31" s="638"/>
      <c r="DI31" s="638"/>
      <c r="DJ31" s="638"/>
      <c r="DK31" s="217"/>
    </row>
    <row r="32" spans="1:115" ht="12" customHeight="1" x14ac:dyDescent="0.2">
      <c r="A32" s="625" t="str">
        <f>Дог.!C20</f>
        <v>Чуйская область г. Бишкек</v>
      </c>
      <c r="B32" s="625"/>
      <c r="C32" s="625"/>
      <c r="D32" s="625"/>
      <c r="E32" s="625"/>
      <c r="F32" s="625"/>
      <c r="G32" s="625"/>
      <c r="H32" s="625"/>
      <c r="I32" s="625"/>
      <c r="J32" s="625"/>
      <c r="K32" s="625"/>
      <c r="L32" s="625"/>
      <c r="M32" s="625"/>
      <c r="N32" s="625"/>
      <c r="O32" s="625"/>
      <c r="P32" s="625"/>
      <c r="Q32" s="625"/>
      <c r="R32" s="625"/>
      <c r="S32" s="625"/>
      <c r="T32" s="625"/>
      <c r="U32" s="625"/>
      <c r="V32" s="625"/>
      <c r="W32" s="625"/>
      <c r="X32" s="625"/>
      <c r="Y32" s="625"/>
      <c r="Z32" s="625"/>
      <c r="AA32" s="625"/>
      <c r="AB32" s="625"/>
      <c r="AC32" s="625"/>
      <c r="AD32" s="625"/>
      <c r="AE32" s="625"/>
      <c r="AF32" s="625"/>
      <c r="AG32" s="625"/>
      <c r="AH32" s="625"/>
      <c r="AI32" s="625"/>
      <c r="AJ32" s="625"/>
      <c r="AK32" s="625"/>
      <c r="AL32" s="625"/>
      <c r="AM32" s="625"/>
      <c r="AN32" s="625"/>
      <c r="AO32" s="625"/>
      <c r="AP32" s="625"/>
      <c r="AQ32" s="625"/>
      <c r="AR32" s="625"/>
      <c r="AS32" s="625"/>
      <c r="AT32" s="625"/>
      <c r="AU32" s="625"/>
      <c r="AV32" s="625"/>
      <c r="AW32" s="625"/>
      <c r="AX32" s="625"/>
      <c r="AY32" s="625"/>
      <c r="AZ32" s="625"/>
      <c r="BA32" s="625"/>
      <c r="BB32" s="625"/>
      <c r="BC32" s="625"/>
      <c r="BD32" s="625"/>
      <c r="BE32" s="625"/>
      <c r="BF32" s="625"/>
      <c r="BG32" s="625" t="str">
        <f>Дог.!J20</f>
        <v>ул. ХХХХХ</v>
      </c>
      <c r="BH32" s="625"/>
      <c r="BI32" s="625"/>
      <c r="BJ32" s="625"/>
      <c r="BK32" s="625"/>
      <c r="BL32" s="625"/>
      <c r="BM32" s="625"/>
      <c r="BN32" s="625"/>
      <c r="BO32" s="625"/>
      <c r="BP32" s="625"/>
      <c r="BQ32" s="625"/>
      <c r="BR32" s="625"/>
      <c r="BS32" s="625"/>
      <c r="BT32" s="625"/>
      <c r="BU32" s="625"/>
      <c r="BV32" s="625"/>
      <c r="BW32" s="625"/>
      <c r="BX32" s="625"/>
      <c r="BY32" s="625"/>
      <c r="BZ32" s="625"/>
      <c r="CA32" s="625"/>
      <c r="CB32" s="625"/>
      <c r="CC32" s="625"/>
      <c r="CD32" s="625"/>
      <c r="CE32" s="625"/>
      <c r="CF32" s="625"/>
      <c r="CG32" s="625"/>
      <c r="CH32" s="625"/>
      <c r="CI32" s="625"/>
      <c r="CJ32" s="625"/>
      <c r="CK32" s="625"/>
      <c r="CL32" s="625"/>
      <c r="CM32" s="625"/>
      <c r="CN32" s="625"/>
      <c r="CO32" s="625"/>
      <c r="CP32" s="625"/>
      <c r="CQ32" s="625"/>
      <c r="CR32" s="625"/>
      <c r="CS32" s="625"/>
      <c r="CT32" s="625"/>
      <c r="CU32" s="625"/>
      <c r="CV32" s="625"/>
      <c r="CW32" s="625"/>
      <c r="CX32" s="625"/>
      <c r="CY32" s="625"/>
      <c r="CZ32" s="625"/>
      <c r="DA32" s="625"/>
      <c r="DB32" s="625"/>
      <c r="DC32" s="625"/>
      <c r="DD32" s="625"/>
      <c r="DE32" s="625"/>
      <c r="DF32" s="625"/>
      <c r="DG32" s="625"/>
      <c r="DH32" s="625"/>
      <c r="DI32" s="625"/>
      <c r="DJ32" s="625"/>
      <c r="DK32" s="215"/>
    </row>
    <row r="33" spans="1:115" s="199" customFormat="1" ht="9.75" x14ac:dyDescent="0.2">
      <c r="A33" s="638"/>
      <c r="B33" s="638"/>
      <c r="C33" s="638"/>
      <c r="D33" s="638"/>
      <c r="E33" s="638"/>
      <c r="F33" s="638"/>
      <c r="G33" s="638"/>
      <c r="H33" s="638"/>
      <c r="I33" s="638"/>
      <c r="J33" s="638"/>
      <c r="K33" s="638"/>
      <c r="L33" s="638"/>
      <c r="M33" s="638"/>
      <c r="N33" s="638"/>
      <c r="O33" s="638"/>
      <c r="P33" s="638"/>
      <c r="Q33" s="638"/>
      <c r="R33" s="638"/>
      <c r="S33" s="638"/>
      <c r="T33" s="638"/>
      <c r="U33" s="638"/>
      <c r="V33" s="638"/>
      <c r="W33" s="638"/>
      <c r="X33" s="638"/>
      <c r="Y33" s="638"/>
      <c r="Z33" s="638"/>
      <c r="AA33" s="638"/>
      <c r="AB33" s="638"/>
      <c r="AC33" s="638"/>
      <c r="AD33" s="638"/>
      <c r="AE33" s="638"/>
      <c r="AF33" s="638"/>
      <c r="AG33" s="638"/>
      <c r="AH33" s="638"/>
      <c r="AI33" s="638"/>
      <c r="AJ33" s="638"/>
      <c r="AK33" s="638"/>
      <c r="AL33" s="638"/>
      <c r="AM33" s="638"/>
      <c r="AN33" s="638"/>
      <c r="AO33" s="638"/>
      <c r="AP33" s="638"/>
      <c r="AQ33" s="638"/>
      <c r="AR33" s="638"/>
      <c r="AS33" s="638"/>
      <c r="AT33" s="638"/>
      <c r="AU33" s="638"/>
      <c r="AV33" s="638"/>
      <c r="AW33" s="638"/>
      <c r="AX33" s="638"/>
      <c r="AY33" s="638"/>
      <c r="AZ33" s="638"/>
      <c r="BA33" s="638"/>
      <c r="BB33" s="638"/>
      <c r="BC33" s="638"/>
      <c r="BD33" s="638"/>
      <c r="BE33" s="638"/>
      <c r="BF33" s="638"/>
      <c r="BG33" s="638"/>
      <c r="BH33" s="638"/>
      <c r="BI33" s="638"/>
      <c r="BJ33" s="638"/>
      <c r="BK33" s="638"/>
      <c r="BL33" s="638"/>
      <c r="BM33" s="638"/>
      <c r="BN33" s="638"/>
      <c r="BO33" s="638"/>
      <c r="BP33" s="638"/>
      <c r="BQ33" s="638"/>
      <c r="BR33" s="638"/>
      <c r="BS33" s="638"/>
      <c r="BT33" s="638"/>
      <c r="BU33" s="638"/>
      <c r="BV33" s="638"/>
      <c r="BW33" s="638"/>
      <c r="BX33" s="638"/>
      <c r="BY33" s="638"/>
      <c r="BZ33" s="638"/>
      <c r="CA33" s="638"/>
      <c r="CB33" s="638"/>
      <c r="CC33" s="638"/>
      <c r="CD33" s="638"/>
      <c r="CE33" s="638"/>
      <c r="CF33" s="638"/>
      <c r="CG33" s="638"/>
      <c r="CH33" s="638"/>
      <c r="CI33" s="638"/>
      <c r="CJ33" s="638"/>
      <c r="CK33" s="638"/>
      <c r="CL33" s="638"/>
      <c r="CM33" s="638"/>
      <c r="CN33" s="638"/>
      <c r="CO33" s="638"/>
      <c r="CP33" s="638"/>
      <c r="CQ33" s="638"/>
      <c r="CR33" s="638"/>
      <c r="CS33" s="638"/>
      <c r="CT33" s="638"/>
      <c r="CU33" s="638"/>
      <c r="CV33" s="638"/>
      <c r="CW33" s="638"/>
      <c r="CX33" s="638"/>
      <c r="CY33" s="638"/>
      <c r="CZ33" s="638"/>
      <c r="DA33" s="638"/>
      <c r="DB33" s="638"/>
      <c r="DC33" s="638"/>
      <c r="DD33" s="638"/>
      <c r="DE33" s="638"/>
      <c r="DF33" s="638"/>
      <c r="DG33" s="638"/>
      <c r="DH33" s="638"/>
      <c r="DI33" s="638"/>
      <c r="DJ33" s="638"/>
      <c r="DK33" s="217"/>
    </row>
    <row r="34" spans="1:115" x14ac:dyDescent="0.2">
      <c r="A34" s="214" t="s">
        <v>639</v>
      </c>
      <c r="B34" s="214"/>
      <c r="C34" s="214"/>
      <c r="D34" s="214"/>
      <c r="E34" s="214"/>
      <c r="F34" s="214"/>
      <c r="G34" s="214"/>
      <c r="H34" s="214"/>
      <c r="I34" s="214"/>
      <c r="J34" s="214"/>
      <c r="K34" s="214"/>
      <c r="L34" s="214"/>
      <c r="M34" s="214"/>
      <c r="N34" s="214"/>
      <c r="O34" s="625"/>
      <c r="P34" s="625"/>
      <c r="Q34" s="625"/>
      <c r="R34" s="625"/>
      <c r="S34" s="625"/>
      <c r="T34" s="625"/>
      <c r="U34" s="625"/>
      <c r="V34" s="625"/>
      <c r="W34" s="625"/>
      <c r="X34" s="625"/>
      <c r="Y34" s="625"/>
      <c r="Z34" s="625"/>
      <c r="AA34" s="625"/>
      <c r="AB34" s="625"/>
      <c r="AC34" s="625"/>
      <c r="AD34" s="625"/>
      <c r="AE34" s="214"/>
      <c r="AF34" s="214"/>
      <c r="AG34" s="625"/>
      <c r="AH34" s="625"/>
      <c r="AI34" s="625"/>
      <c r="AJ34" s="625"/>
      <c r="AK34" s="625"/>
      <c r="AL34" s="625"/>
      <c r="AM34" s="625"/>
      <c r="AN34" s="625"/>
      <c r="AO34" s="625"/>
      <c r="AP34" s="625"/>
      <c r="AQ34" s="625"/>
      <c r="AR34" s="625"/>
      <c r="AS34" s="625"/>
      <c r="AT34" s="625"/>
      <c r="AU34" s="625"/>
      <c r="AV34" s="625"/>
      <c r="AW34" s="625"/>
      <c r="AX34" s="625"/>
      <c r="AY34" s="625"/>
      <c r="AZ34" s="625"/>
      <c r="BA34" s="625"/>
      <c r="BB34" s="625"/>
      <c r="BC34" s="625"/>
      <c r="BD34" s="625"/>
      <c r="BE34" s="625"/>
      <c r="BF34" s="214"/>
      <c r="BG34" s="214"/>
      <c r="BH34" s="214"/>
      <c r="BI34" s="214"/>
      <c r="BJ34" s="214"/>
      <c r="BK34" s="214"/>
      <c r="BL34" s="214"/>
      <c r="BM34" s="214"/>
      <c r="BN34" s="214"/>
      <c r="BO34" s="214"/>
      <c r="BP34" s="214"/>
      <c r="BQ34" s="214"/>
      <c r="BR34" s="214"/>
      <c r="BS34" s="214"/>
      <c r="BT34" s="214"/>
      <c r="BU34" s="214"/>
      <c r="BV34" s="214"/>
      <c r="BW34" s="214"/>
      <c r="BX34" s="214"/>
      <c r="BY34" s="214"/>
      <c r="BZ34" s="214"/>
      <c r="CA34" s="214"/>
      <c r="CB34" s="214"/>
      <c r="CC34" s="214"/>
      <c r="CD34" s="214"/>
      <c r="CE34" s="214"/>
      <c r="CF34" s="214"/>
      <c r="CG34" s="214"/>
      <c r="CH34" s="214"/>
      <c r="CI34" s="214"/>
      <c r="CJ34" s="214"/>
      <c r="CK34" s="214"/>
      <c r="CL34" s="214"/>
      <c r="CM34" s="214"/>
      <c r="CN34" s="214"/>
      <c r="CO34" s="214"/>
      <c r="CP34" s="214"/>
      <c r="CQ34" s="214"/>
      <c r="CR34" s="214"/>
      <c r="CS34" s="214"/>
      <c r="CT34" s="214"/>
      <c r="CU34" s="214"/>
      <c r="CV34" s="214"/>
      <c r="CW34" s="214"/>
      <c r="CX34" s="214"/>
      <c r="CY34" s="214"/>
      <c r="CZ34" s="214"/>
      <c r="DA34" s="214"/>
      <c r="DB34" s="214"/>
      <c r="DC34" s="214"/>
      <c r="DD34" s="214"/>
      <c r="DE34" s="214"/>
      <c r="DF34" s="214"/>
      <c r="DG34" s="214"/>
      <c r="DH34" s="214"/>
      <c r="DI34" s="214"/>
      <c r="DJ34" s="214"/>
      <c r="DK34" s="215"/>
    </row>
    <row r="35" spans="1:115" s="199" customFormat="1" ht="9.75" x14ac:dyDescent="0.2">
      <c r="A35" s="216"/>
      <c r="B35" s="216"/>
      <c r="C35" s="216"/>
      <c r="D35" s="216"/>
      <c r="E35" s="216"/>
      <c r="F35" s="216"/>
      <c r="G35" s="216"/>
      <c r="H35" s="216"/>
      <c r="I35" s="216"/>
      <c r="J35" s="216"/>
      <c r="K35" s="216"/>
      <c r="L35" s="216"/>
      <c r="M35" s="216"/>
      <c r="N35" s="216"/>
      <c r="O35" s="638" t="s">
        <v>63</v>
      </c>
      <c r="P35" s="638"/>
      <c r="Q35" s="638"/>
      <c r="R35" s="638"/>
      <c r="S35" s="638"/>
      <c r="T35" s="638"/>
      <c r="U35" s="638"/>
      <c r="V35" s="638"/>
      <c r="W35" s="638"/>
      <c r="X35" s="638"/>
      <c r="Y35" s="638"/>
      <c r="Z35" s="638"/>
      <c r="AA35" s="638"/>
      <c r="AB35" s="638"/>
      <c r="AC35" s="638"/>
      <c r="AD35" s="638"/>
      <c r="AE35" s="216"/>
      <c r="AF35" s="216"/>
      <c r="AG35" s="638" t="s">
        <v>121</v>
      </c>
      <c r="AH35" s="638"/>
      <c r="AI35" s="638"/>
      <c r="AJ35" s="638"/>
      <c r="AK35" s="638"/>
      <c r="AL35" s="638"/>
      <c r="AM35" s="638"/>
      <c r="AN35" s="638"/>
      <c r="AO35" s="638"/>
      <c r="AP35" s="638"/>
      <c r="AQ35" s="638"/>
      <c r="AR35" s="638"/>
      <c r="AS35" s="638"/>
      <c r="AT35" s="638"/>
      <c r="AU35" s="638"/>
      <c r="AV35" s="638"/>
      <c r="AW35" s="638"/>
      <c r="AX35" s="638"/>
      <c r="AY35" s="638"/>
      <c r="AZ35" s="638"/>
      <c r="BA35" s="638"/>
      <c r="BB35" s="638"/>
      <c r="BC35" s="638"/>
      <c r="BD35" s="638"/>
      <c r="BE35" s="638"/>
      <c r="BF35" s="216"/>
      <c r="BG35" s="216"/>
      <c r="BH35" s="216"/>
      <c r="BI35" s="216"/>
      <c r="BJ35" s="216"/>
      <c r="BK35" s="216"/>
      <c r="BL35" s="216"/>
      <c r="BM35" s="216"/>
      <c r="BN35" s="216"/>
      <c r="BO35" s="216"/>
      <c r="BP35" s="216"/>
      <c r="BQ35" s="216"/>
      <c r="BR35" s="216"/>
      <c r="BS35" s="216"/>
      <c r="BT35" s="216"/>
      <c r="BU35" s="216"/>
      <c r="BV35" s="216"/>
      <c r="BW35" s="216"/>
      <c r="BX35" s="216"/>
      <c r="BY35" s="216"/>
      <c r="BZ35" s="216"/>
      <c r="CA35" s="216"/>
      <c r="CB35" s="216"/>
      <c r="CC35" s="216"/>
      <c r="CD35" s="216"/>
      <c r="CE35" s="216"/>
      <c r="CF35" s="216"/>
      <c r="CG35" s="216"/>
      <c r="CH35" s="216"/>
      <c r="CI35" s="216"/>
      <c r="CJ35" s="216"/>
      <c r="CK35" s="216"/>
      <c r="CL35" s="216"/>
      <c r="CM35" s="216"/>
      <c r="CN35" s="216"/>
      <c r="CO35" s="216"/>
      <c r="CP35" s="216"/>
      <c r="CQ35" s="216"/>
      <c r="CR35" s="216"/>
      <c r="CS35" s="216"/>
      <c r="CT35" s="216"/>
      <c r="CU35" s="216"/>
      <c r="CV35" s="216"/>
      <c r="CW35" s="216"/>
      <c r="CX35" s="216"/>
      <c r="CY35" s="216"/>
      <c r="CZ35" s="216"/>
      <c r="DA35" s="216"/>
      <c r="DB35" s="216"/>
      <c r="DC35" s="216"/>
      <c r="DD35" s="216"/>
      <c r="DE35" s="216"/>
      <c r="DF35" s="216"/>
      <c r="DG35" s="216"/>
      <c r="DH35" s="216"/>
      <c r="DI35" s="216"/>
      <c r="DJ35" s="216"/>
      <c r="DK35" s="217"/>
    </row>
  </sheetData>
  <mergeCells count="78">
    <mergeCell ref="C29:F29"/>
    <mergeCell ref="J29:AA29"/>
    <mergeCell ref="AC29:AI29"/>
    <mergeCell ref="BJ29:CA29"/>
    <mergeCell ref="S25:AH25"/>
    <mergeCell ref="AK25:BI25"/>
    <mergeCell ref="S26:AH26"/>
    <mergeCell ref="AK26:BI26"/>
    <mergeCell ref="I27:DJ27"/>
    <mergeCell ref="I28:DJ28"/>
    <mergeCell ref="O35:AD35"/>
    <mergeCell ref="AG35:BE35"/>
    <mergeCell ref="D31:DJ31"/>
    <mergeCell ref="A33:DJ33"/>
    <mergeCell ref="O34:AD34"/>
    <mergeCell ref="AG34:BE34"/>
    <mergeCell ref="H17:DJ17"/>
    <mergeCell ref="Z24:AW24"/>
    <mergeCell ref="AZ24:BO24"/>
    <mergeCell ref="BR24:CP24"/>
    <mergeCell ref="G20:DJ20"/>
    <mergeCell ref="G21:DJ21"/>
    <mergeCell ref="L22:DJ22"/>
    <mergeCell ref="Z23:AW23"/>
    <mergeCell ref="AZ23:BO23"/>
    <mergeCell ref="BR23:CP23"/>
    <mergeCell ref="K19:Q19"/>
    <mergeCell ref="AO19:BX19"/>
    <mergeCell ref="BY19:CV19"/>
    <mergeCell ref="H18:DJ18"/>
    <mergeCell ref="A14:G14"/>
    <mergeCell ref="H14:Z14"/>
    <mergeCell ref="AA14:AU14"/>
    <mergeCell ref="AV14:BS14"/>
    <mergeCell ref="A15:G15"/>
    <mergeCell ref="H15:Z15"/>
    <mergeCell ref="AA15:AU15"/>
    <mergeCell ref="AV15:BS15"/>
    <mergeCell ref="BT15:CB15"/>
    <mergeCell ref="CC15:CP15"/>
    <mergeCell ref="CQ15:DB15"/>
    <mergeCell ref="DC15:DJ15"/>
    <mergeCell ref="A9:CS9"/>
    <mergeCell ref="CC10:CS10"/>
    <mergeCell ref="CT10:DJ10"/>
    <mergeCell ref="CT11:DJ11"/>
    <mergeCell ref="A13:BS13"/>
    <mergeCell ref="BT13:CB14"/>
    <mergeCell ref="CC13:CP14"/>
    <mergeCell ref="CQ13:DB14"/>
    <mergeCell ref="DC13:DJ14"/>
    <mergeCell ref="CQ11:CS11"/>
    <mergeCell ref="CJ11:CP11"/>
    <mergeCell ref="CD11:CI11"/>
    <mergeCell ref="BZ11:CC11"/>
    <mergeCell ref="BU11:BY11"/>
    <mergeCell ref="CT4:DJ4"/>
    <mergeCell ref="CT5:DJ5"/>
    <mergeCell ref="A6:CF6"/>
    <mergeCell ref="CT6:DJ6"/>
    <mergeCell ref="A7:CF7"/>
    <mergeCell ref="CT7:DJ8"/>
    <mergeCell ref="BM1:DJ1"/>
    <mergeCell ref="A32:BF32"/>
    <mergeCell ref="BG32:DJ32"/>
    <mergeCell ref="A8:CF8"/>
    <mergeCell ref="AV2:DJ2"/>
    <mergeCell ref="BG30:BK30"/>
    <mergeCell ref="BL30:BT30"/>
    <mergeCell ref="BU30:CO30"/>
    <mergeCell ref="CP30:DA30"/>
    <mergeCell ref="Z30:AI30"/>
    <mergeCell ref="AJ30:AR30"/>
    <mergeCell ref="AS30:AX30"/>
    <mergeCell ref="AY30:BF30"/>
    <mergeCell ref="D30:Q30"/>
    <mergeCell ref="R30:U30"/>
    <mergeCell ref="V30:Y30"/>
  </mergeCells>
  <pageMargins left="0.23622047244094491" right="0.23622047244094491" top="0.23622047244094491" bottom="0.74803149606299213" header="0.31496062992125984" footer="0.31496062992125984"/>
  <pageSetup paperSize="9" fitToHeight="0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9">
    <pageSetUpPr fitToPage="1"/>
  </sheetPr>
  <dimension ref="A1:N64"/>
  <sheetViews>
    <sheetView topLeftCell="A22" zoomScale="80" zoomScaleNormal="80" workbookViewId="0"/>
  </sheetViews>
  <sheetFormatPr defaultColWidth="9.140625" defaultRowHeight="15" x14ac:dyDescent="0.25"/>
  <cols>
    <col min="1" max="1" width="8.42578125" customWidth="1"/>
    <col min="2" max="2" width="31.7109375" customWidth="1"/>
    <col min="3" max="3" width="8" customWidth="1"/>
    <col min="4" max="4" width="25" style="51" customWidth="1"/>
    <col min="5" max="5" width="20.28515625" customWidth="1"/>
    <col min="6" max="6" width="14.42578125" customWidth="1"/>
    <col min="7" max="7" width="21.7109375" customWidth="1"/>
    <col min="8" max="8" width="21.42578125" customWidth="1"/>
    <col min="9" max="9" width="14.28515625" customWidth="1"/>
    <col min="10" max="10" width="12.42578125" customWidth="1"/>
    <col min="11" max="11" width="12.28515625" style="56" customWidth="1"/>
    <col min="12" max="12" width="17" customWidth="1"/>
    <col min="13" max="13" width="21.5703125" customWidth="1"/>
    <col min="14" max="14" width="22.28515625" customWidth="1"/>
  </cols>
  <sheetData>
    <row r="1" spans="1:11" x14ac:dyDescent="0.25">
      <c r="A1" s="171"/>
      <c r="B1" s="172"/>
      <c r="C1" s="172"/>
      <c r="D1" s="173"/>
      <c r="E1" s="174"/>
      <c r="F1" s="172"/>
      <c r="G1" s="172"/>
      <c r="H1" s="172"/>
      <c r="I1" s="172"/>
      <c r="J1" s="172"/>
      <c r="K1" s="181"/>
    </row>
    <row r="2" spans="1:11" x14ac:dyDescent="0.25">
      <c r="A2" s="175"/>
      <c r="E2" s="176"/>
      <c r="K2" s="182"/>
    </row>
    <row r="3" spans="1:11" x14ac:dyDescent="0.25">
      <c r="A3" s="175"/>
      <c r="E3" s="176"/>
      <c r="K3" s="182"/>
    </row>
    <row r="4" spans="1:11" x14ac:dyDescent="0.25">
      <c r="A4" s="175"/>
      <c r="E4" s="176"/>
      <c r="K4" s="182"/>
    </row>
    <row r="5" spans="1:11" x14ac:dyDescent="0.25">
      <c r="A5" s="175"/>
      <c r="E5" s="176"/>
      <c r="K5" s="182"/>
    </row>
    <row r="6" spans="1:11" x14ac:dyDescent="0.25">
      <c r="A6" s="175"/>
      <c r="E6" s="176"/>
      <c r="K6" s="182"/>
    </row>
    <row r="7" spans="1:11" x14ac:dyDescent="0.25">
      <c r="A7" s="175"/>
      <c r="E7" s="176"/>
      <c r="K7" s="182"/>
    </row>
    <row r="8" spans="1:11" x14ac:dyDescent="0.25">
      <c r="A8" s="175"/>
      <c r="E8" s="176"/>
      <c r="K8" s="182"/>
    </row>
    <row r="9" spans="1:11" x14ac:dyDescent="0.25">
      <c r="A9" s="175"/>
      <c r="E9" s="176"/>
      <c r="K9" s="182"/>
    </row>
    <row r="10" spans="1:11" x14ac:dyDescent="0.25">
      <c r="A10" s="175"/>
      <c r="E10" s="176"/>
      <c r="K10" s="182"/>
    </row>
    <row r="11" spans="1:11" x14ac:dyDescent="0.25">
      <c r="A11" s="175"/>
      <c r="E11" s="176"/>
      <c r="K11" s="182"/>
    </row>
    <row r="12" spans="1:11" x14ac:dyDescent="0.25">
      <c r="A12" s="175"/>
      <c r="E12" s="176"/>
      <c r="K12" s="182"/>
    </row>
    <row r="13" spans="1:11" x14ac:dyDescent="0.25">
      <c r="A13" s="175"/>
      <c r="E13" s="176"/>
      <c r="K13" s="182"/>
    </row>
    <row r="14" spans="1:11" x14ac:dyDescent="0.25">
      <c r="A14" s="175"/>
      <c r="E14" s="176"/>
      <c r="K14" s="182"/>
    </row>
    <row r="15" spans="1:11" x14ac:dyDescent="0.25">
      <c r="A15" s="175"/>
      <c r="E15" s="176"/>
      <c r="K15" s="182"/>
    </row>
    <row r="16" spans="1:11" x14ac:dyDescent="0.25">
      <c r="A16" s="175"/>
      <c r="E16" s="176"/>
      <c r="K16" s="182"/>
    </row>
    <row r="17" spans="1:11" x14ac:dyDescent="0.25">
      <c r="A17" s="175"/>
      <c r="E17" s="176"/>
      <c r="K17" s="182"/>
    </row>
    <row r="18" spans="1:11" x14ac:dyDescent="0.25">
      <c r="A18" s="175"/>
      <c r="E18" s="176"/>
      <c r="K18" s="182"/>
    </row>
    <row r="19" spans="1:11" x14ac:dyDescent="0.25">
      <c r="A19" s="175"/>
      <c r="E19" s="176"/>
      <c r="K19" s="182"/>
    </row>
    <row r="20" spans="1:11" x14ac:dyDescent="0.25">
      <c r="A20" s="175"/>
      <c r="E20" s="176"/>
      <c r="K20" s="182"/>
    </row>
    <row r="21" spans="1:11" x14ac:dyDescent="0.25">
      <c r="A21" s="175"/>
      <c r="E21" s="176"/>
      <c r="K21" s="182"/>
    </row>
    <row r="22" spans="1:11" x14ac:dyDescent="0.25">
      <c r="A22" s="175"/>
      <c r="E22" s="176"/>
      <c r="K22" s="182"/>
    </row>
    <row r="23" spans="1:11" x14ac:dyDescent="0.25">
      <c r="A23" s="175"/>
      <c r="E23" s="176"/>
      <c r="K23" s="182"/>
    </row>
    <row r="24" spans="1:11" ht="15.75" thickBot="1" x14ac:dyDescent="0.3">
      <c r="A24" s="177"/>
      <c r="B24" s="178"/>
      <c r="C24" s="178"/>
      <c r="D24" s="179"/>
      <c r="E24" s="180"/>
      <c r="F24" s="178"/>
      <c r="G24" s="178"/>
      <c r="H24" s="178"/>
      <c r="I24" s="178"/>
      <c r="J24" s="178"/>
      <c r="K24" s="183"/>
    </row>
    <row r="39" spans="1:14" ht="33.75" x14ac:dyDescent="0.5">
      <c r="A39" s="670" t="s">
        <v>129</v>
      </c>
      <c r="B39" s="670"/>
      <c r="C39" s="670"/>
      <c r="D39" s="670"/>
      <c r="E39" s="670"/>
      <c r="F39" s="670"/>
      <c r="G39" s="670"/>
      <c r="H39" s="670"/>
      <c r="I39" s="670"/>
      <c r="J39" s="670"/>
      <c r="K39" s="670"/>
      <c r="L39" s="670"/>
      <c r="M39" s="670"/>
      <c r="N39" s="670"/>
    </row>
    <row r="40" spans="1:14" ht="26.25" x14ac:dyDescent="0.4">
      <c r="K40" s="351" t="str">
        <f>Дог.!G8</f>
        <v>Филиал №</v>
      </c>
      <c r="L40" s="351"/>
      <c r="M40" s="351" t="str">
        <f>Дог.!L8</f>
        <v>ул. Лермонтова д.№ 68</v>
      </c>
      <c r="N40" s="351"/>
    </row>
    <row r="42" spans="1:14" ht="26.25" x14ac:dyDescent="0.4">
      <c r="A42" s="45"/>
      <c r="B42" s="60"/>
      <c r="C42" s="45"/>
      <c r="D42" s="52"/>
      <c r="E42" s="45"/>
      <c r="F42" s="45"/>
      <c r="G42" s="45"/>
      <c r="H42" s="45"/>
      <c r="I42" s="45"/>
      <c r="J42" s="45"/>
      <c r="K42" s="57"/>
      <c r="L42" s="45"/>
      <c r="M42" s="58" t="s">
        <v>78</v>
      </c>
      <c r="N42" s="59">
        <f ca="1">'Пр №1'!J21</f>
        <v>45982</v>
      </c>
    </row>
    <row r="43" spans="1:14" ht="26.25" x14ac:dyDescent="0.4">
      <c r="A43" s="45"/>
      <c r="B43" s="60" t="s">
        <v>74</v>
      </c>
      <c r="C43" s="45"/>
      <c r="D43" s="52"/>
      <c r="E43" s="45"/>
      <c r="F43" s="45"/>
      <c r="G43" s="45"/>
      <c r="H43" s="45"/>
      <c r="I43" s="45"/>
      <c r="J43" s="45"/>
      <c r="K43" s="57"/>
      <c r="L43" s="45"/>
      <c r="M43" s="45"/>
      <c r="N43" s="45"/>
    </row>
    <row r="44" spans="1:14" ht="26.25" x14ac:dyDescent="0.4">
      <c r="A44" s="351" t="s">
        <v>66</v>
      </c>
      <c r="B44" s="351"/>
      <c r="C44" s="351"/>
      <c r="D44" s="351"/>
      <c r="E44" s="60"/>
      <c r="F44" s="60"/>
      <c r="G44" s="60"/>
      <c r="H44" s="60"/>
      <c r="I44" s="60"/>
      <c r="J44" s="60"/>
      <c r="K44" s="351" t="s">
        <v>67</v>
      </c>
      <c r="L44" s="351"/>
      <c r="M44" s="351"/>
      <c r="N44" s="351"/>
    </row>
    <row r="45" spans="1:14" ht="27" thickBot="1" x14ac:dyDescent="0.45">
      <c r="A45" s="669" t="str">
        <f>'Пр №1'!B50</f>
        <v>Зинченко Михаил Александрович</v>
      </c>
      <c r="B45" s="669"/>
      <c r="C45" s="669"/>
      <c r="D45" s="669"/>
      <c r="E45" s="61"/>
      <c r="F45" s="61"/>
      <c r="G45" s="61"/>
      <c r="H45" s="61"/>
      <c r="I45" s="61"/>
      <c r="J45" s="61"/>
      <c r="K45" s="669" t="str">
        <f>'Пр №1'!L50</f>
        <v>{{CLIENT_FULLNAME}}</v>
      </c>
      <c r="L45" s="669"/>
      <c r="M45" s="669"/>
      <c r="N45" s="669"/>
    </row>
    <row r="46" spans="1:14" ht="87.75" customHeight="1" thickBot="1" x14ac:dyDescent="0.3">
      <c r="A46" s="62" t="s">
        <v>12</v>
      </c>
      <c r="B46" s="63" t="s">
        <v>143</v>
      </c>
      <c r="C46" s="672" t="s">
        <v>133</v>
      </c>
      <c r="D46" s="672"/>
      <c r="E46" s="138" t="s">
        <v>130</v>
      </c>
      <c r="F46" s="672" t="s">
        <v>131</v>
      </c>
      <c r="G46" s="672"/>
      <c r="H46" s="672"/>
      <c r="I46" s="138" t="s">
        <v>144</v>
      </c>
      <c r="J46" s="138" t="s">
        <v>145</v>
      </c>
      <c r="K46" s="138" t="s">
        <v>609</v>
      </c>
      <c r="L46" s="673" t="s">
        <v>147</v>
      </c>
      <c r="M46" s="674"/>
      <c r="N46" s="675"/>
    </row>
    <row r="47" spans="1:14" ht="81" customHeight="1" x14ac:dyDescent="0.25">
      <c r="A47" s="676">
        <v>1</v>
      </c>
      <c r="B47" s="678" t="str">
        <f>'Пр №1'!A10</f>
        <v>{{CLIENT_FULLNAME}}</v>
      </c>
      <c r="C47" s="47" t="str">
        <f>Дог.!E19</f>
        <v>ХХХ</v>
      </c>
      <c r="D47" s="53" t="str">
        <f>Дог.!G19</f>
        <v>ХХХХХ</v>
      </c>
      <c r="E47" s="170" t="str">
        <f>Дог.!D7</f>
        <v>{{CLIENT_PHONE}}</v>
      </c>
      <c r="F47" s="46" t="s">
        <v>148</v>
      </c>
      <c r="G47" s="46" t="str">
        <f>Дог.!C20</f>
        <v>Чуйская область г. Бишкек</v>
      </c>
      <c r="H47" s="46" t="str">
        <f>Дог.!J20</f>
        <v>ул. ХХХХХ</v>
      </c>
      <c r="I47" s="678" t="str">
        <f>'Пр №1'!B20</f>
        <v>{{TOOL_NAME}}</v>
      </c>
      <c r="J47" s="678">
        <f ca="1">'Акт расч'!L20</f>
        <v>0</v>
      </c>
      <c r="K47" s="680">
        <f ca="1">'Акт расч'!P48</f>
        <v>-3000</v>
      </c>
      <c r="L47" s="683"/>
      <c r="M47" s="684"/>
      <c r="N47" s="685"/>
    </row>
    <row r="48" spans="1:14" ht="46.5" customHeight="1" x14ac:dyDescent="0.25">
      <c r="A48" s="676"/>
      <c r="B48" s="678"/>
      <c r="C48" s="692" t="str">
        <f>Дог.!J19</f>
        <v>МКК</v>
      </c>
      <c r="D48" s="693"/>
      <c r="E48" s="46"/>
      <c r="F48" s="694" t="s">
        <v>146</v>
      </c>
      <c r="G48" s="694" t="str">
        <f>Дог.!A21</f>
        <v>Чуйская область г. Бишкек</v>
      </c>
      <c r="H48" s="694" t="str">
        <f>Дог.!I21</f>
        <v>ул. ХХХХХ</v>
      </c>
      <c r="I48" s="678"/>
      <c r="J48" s="678"/>
      <c r="K48" s="681"/>
      <c r="L48" s="686"/>
      <c r="M48" s="687"/>
      <c r="N48" s="688"/>
    </row>
    <row r="49" spans="1:14" ht="43.5" customHeight="1" thickBot="1" x14ac:dyDescent="0.3">
      <c r="A49" s="677"/>
      <c r="B49" s="679"/>
      <c r="C49" s="48" t="str">
        <f>Дог.!A22</f>
        <v>ПИН:</v>
      </c>
      <c r="D49" s="44" t="str">
        <f>Дог.!C22</f>
        <v>ХХХХ</v>
      </c>
      <c r="E49" s="139"/>
      <c r="F49" s="679"/>
      <c r="G49" s="679"/>
      <c r="H49" s="679"/>
      <c r="I49" s="679"/>
      <c r="J49" s="679"/>
      <c r="K49" s="682"/>
      <c r="L49" s="689"/>
      <c r="M49" s="690"/>
      <c r="N49" s="691"/>
    </row>
    <row r="50" spans="1:14" ht="68.25" customHeight="1" thickBot="1" x14ac:dyDescent="0.3">
      <c r="A50" s="54" t="s">
        <v>12</v>
      </c>
      <c r="B50" s="55" t="s">
        <v>132</v>
      </c>
      <c r="C50" s="695" t="s">
        <v>133</v>
      </c>
      <c r="D50" s="696"/>
      <c r="E50" s="55" t="s">
        <v>130</v>
      </c>
      <c r="F50" s="695" t="s">
        <v>131</v>
      </c>
      <c r="G50" s="697"/>
      <c r="H50" s="697"/>
      <c r="I50" s="697"/>
      <c r="J50" s="697"/>
      <c r="K50" s="696"/>
      <c r="L50" s="414" t="s">
        <v>147</v>
      </c>
      <c r="M50" s="415"/>
      <c r="N50" s="671"/>
    </row>
    <row r="51" spans="1:14" ht="66.75" customHeight="1" x14ac:dyDescent="0.25">
      <c r="A51" s="676">
        <v>1</v>
      </c>
      <c r="B51" s="678" t="s">
        <v>234</v>
      </c>
      <c r="C51" s="47"/>
      <c r="D51" s="53"/>
      <c r="E51" s="46"/>
      <c r="F51" s="46"/>
      <c r="G51" s="698"/>
      <c r="H51" s="699"/>
      <c r="I51" s="698"/>
      <c r="J51" s="700"/>
      <c r="K51" s="699"/>
      <c r="L51" s="683"/>
      <c r="M51" s="684"/>
      <c r="N51" s="685"/>
    </row>
    <row r="52" spans="1:14" ht="54.95" customHeight="1" x14ac:dyDescent="0.25">
      <c r="A52" s="676"/>
      <c r="B52" s="678"/>
      <c r="C52" s="692"/>
      <c r="D52" s="693"/>
      <c r="E52" s="46"/>
      <c r="F52" s="694"/>
      <c r="G52" s="701"/>
      <c r="H52" s="701"/>
      <c r="I52" s="701"/>
      <c r="J52" s="701"/>
      <c r="K52" s="701"/>
      <c r="L52" s="686"/>
      <c r="M52" s="687"/>
      <c r="N52" s="688"/>
    </row>
    <row r="53" spans="1:14" ht="54.95" customHeight="1" thickBot="1" x14ac:dyDescent="0.3">
      <c r="A53" s="677"/>
      <c r="B53" s="679"/>
      <c r="C53" s="48" t="str">
        <f>C49</f>
        <v>ПИН:</v>
      </c>
      <c r="D53" s="44"/>
      <c r="E53" s="139"/>
      <c r="F53" s="679"/>
      <c r="G53" s="701"/>
      <c r="H53" s="701"/>
      <c r="I53" s="701"/>
      <c r="J53" s="701"/>
      <c r="K53" s="701"/>
      <c r="L53" s="689"/>
      <c r="M53" s="690"/>
      <c r="N53" s="691"/>
    </row>
    <row r="54" spans="1:14" ht="54.95" customHeight="1" x14ac:dyDescent="0.25">
      <c r="A54" s="676">
        <v>2</v>
      </c>
      <c r="B54" s="678" t="s">
        <v>235</v>
      </c>
      <c r="C54" s="47"/>
      <c r="D54" s="53"/>
      <c r="E54" s="46"/>
      <c r="F54" s="46"/>
      <c r="G54" s="698"/>
      <c r="H54" s="699"/>
      <c r="I54" s="698"/>
      <c r="J54" s="700"/>
      <c r="K54" s="699"/>
      <c r="L54" s="683"/>
      <c r="M54" s="684"/>
      <c r="N54" s="685"/>
    </row>
    <row r="55" spans="1:14" ht="54.95" customHeight="1" x14ac:dyDescent="0.25">
      <c r="A55" s="676"/>
      <c r="B55" s="678"/>
      <c r="C55" s="692"/>
      <c r="D55" s="693"/>
      <c r="E55" s="46"/>
      <c r="F55" s="694"/>
      <c r="G55" s="701"/>
      <c r="H55" s="701"/>
      <c r="I55" s="701"/>
      <c r="J55" s="701"/>
      <c r="K55" s="701"/>
      <c r="L55" s="686"/>
      <c r="M55" s="687"/>
      <c r="N55" s="688"/>
    </row>
    <row r="56" spans="1:14" ht="54.95" customHeight="1" thickBot="1" x14ac:dyDescent="0.3">
      <c r="A56" s="677"/>
      <c r="B56" s="679"/>
      <c r="C56" s="48" t="str">
        <f>C53</f>
        <v>ПИН:</v>
      </c>
      <c r="D56" s="44"/>
      <c r="E56" s="139"/>
      <c r="F56" s="679"/>
      <c r="G56" s="701"/>
      <c r="H56" s="701"/>
      <c r="I56" s="701"/>
      <c r="J56" s="701"/>
      <c r="K56" s="701"/>
      <c r="L56" s="689"/>
      <c r="M56" s="690"/>
      <c r="N56" s="691"/>
    </row>
    <row r="57" spans="1:14" ht="54.95" customHeight="1" x14ac:dyDescent="0.25">
      <c r="A57" s="676">
        <v>3</v>
      </c>
      <c r="B57" s="678" t="s">
        <v>236</v>
      </c>
      <c r="C57" s="47"/>
      <c r="D57" s="53"/>
      <c r="E57" s="46"/>
      <c r="F57" s="46"/>
      <c r="G57" s="698"/>
      <c r="H57" s="699"/>
      <c r="I57" s="698"/>
      <c r="J57" s="700"/>
      <c r="K57" s="699"/>
      <c r="L57" s="683"/>
      <c r="M57" s="684"/>
      <c r="N57" s="685"/>
    </row>
    <row r="58" spans="1:14" ht="54.95" customHeight="1" x14ac:dyDescent="0.25">
      <c r="A58" s="676"/>
      <c r="B58" s="678"/>
      <c r="C58" s="692"/>
      <c r="D58" s="693"/>
      <c r="E58" s="46"/>
      <c r="F58" s="694"/>
      <c r="G58" s="701"/>
      <c r="H58" s="701"/>
      <c r="I58" s="701"/>
      <c r="J58" s="701"/>
      <c r="K58" s="701"/>
      <c r="L58" s="686"/>
      <c r="M58" s="687"/>
      <c r="N58" s="688"/>
    </row>
    <row r="59" spans="1:14" ht="54.95" customHeight="1" thickBot="1" x14ac:dyDescent="0.3">
      <c r="A59" s="677"/>
      <c r="B59" s="679"/>
      <c r="C59" s="48" t="str">
        <f>C56</f>
        <v>ПИН:</v>
      </c>
      <c r="D59" s="44"/>
      <c r="E59" s="139"/>
      <c r="F59" s="679"/>
      <c r="G59" s="701"/>
      <c r="H59" s="701"/>
      <c r="I59" s="701"/>
      <c r="J59" s="701"/>
      <c r="K59" s="701"/>
      <c r="L59" s="689"/>
      <c r="M59" s="690"/>
      <c r="N59" s="691"/>
    </row>
    <row r="60" spans="1:14" ht="54.95" customHeight="1" x14ac:dyDescent="0.25">
      <c r="A60" s="676">
        <v>4</v>
      </c>
      <c r="B60" s="678"/>
      <c r="C60" s="47"/>
      <c r="D60" s="53"/>
      <c r="E60" s="46"/>
      <c r="F60" s="46"/>
      <c r="G60" s="698"/>
      <c r="H60" s="699"/>
      <c r="I60" s="698"/>
      <c r="J60" s="700"/>
      <c r="K60" s="699"/>
      <c r="L60" s="683"/>
      <c r="M60" s="684"/>
      <c r="N60" s="685"/>
    </row>
    <row r="61" spans="1:14" ht="54.95" customHeight="1" x14ac:dyDescent="0.25">
      <c r="A61" s="676"/>
      <c r="B61" s="678"/>
      <c r="C61" s="692"/>
      <c r="D61" s="693"/>
      <c r="E61" s="46"/>
      <c r="F61" s="694"/>
      <c r="G61" s="701"/>
      <c r="H61" s="701"/>
      <c r="I61" s="701"/>
      <c r="J61" s="701"/>
      <c r="K61" s="701"/>
      <c r="L61" s="686"/>
      <c r="M61" s="687"/>
      <c r="N61" s="688"/>
    </row>
    <row r="62" spans="1:14" ht="54.95" customHeight="1" thickBot="1" x14ac:dyDescent="0.3">
      <c r="A62" s="677"/>
      <c r="B62" s="679"/>
      <c r="C62" s="48" t="str">
        <f>C59</f>
        <v>ПИН:</v>
      </c>
      <c r="D62" s="44"/>
      <c r="E62" s="139"/>
      <c r="F62" s="679"/>
      <c r="G62" s="701"/>
      <c r="H62" s="701"/>
      <c r="I62" s="701"/>
      <c r="J62" s="701"/>
      <c r="K62" s="701"/>
      <c r="L62" s="689"/>
      <c r="M62" s="690"/>
      <c r="N62" s="691"/>
    </row>
    <row r="63" spans="1:14" ht="24" thickBot="1" x14ac:dyDescent="0.4">
      <c r="A63" s="702"/>
      <c r="B63" s="703"/>
      <c r="C63" s="703"/>
      <c r="D63" s="703"/>
      <c r="E63" s="703"/>
      <c r="F63" s="703"/>
      <c r="G63" s="703"/>
      <c r="H63" s="703"/>
      <c r="I63" s="703"/>
      <c r="J63" s="703"/>
      <c r="K63" s="703"/>
      <c r="L63" s="703"/>
      <c r="M63" s="703"/>
      <c r="N63" s="49"/>
    </row>
    <row r="64" spans="1:14" ht="23.25" x14ac:dyDescent="0.35">
      <c r="N64" s="50"/>
    </row>
  </sheetData>
  <mergeCells count="60">
    <mergeCell ref="A63:M63"/>
    <mergeCell ref="A60:A62"/>
    <mergeCell ref="B60:B62"/>
    <mergeCell ref="G60:H60"/>
    <mergeCell ref="I60:K60"/>
    <mergeCell ref="L60:N62"/>
    <mergeCell ref="C61:D61"/>
    <mergeCell ref="F61:F62"/>
    <mergeCell ref="G61:H62"/>
    <mergeCell ref="I61:K62"/>
    <mergeCell ref="A57:A59"/>
    <mergeCell ref="B57:B59"/>
    <mergeCell ref="G57:H57"/>
    <mergeCell ref="I57:K57"/>
    <mergeCell ref="L57:N59"/>
    <mergeCell ref="C58:D58"/>
    <mergeCell ref="F58:F59"/>
    <mergeCell ref="G58:H59"/>
    <mergeCell ref="I58:K59"/>
    <mergeCell ref="A54:A56"/>
    <mergeCell ref="B54:B56"/>
    <mergeCell ref="G54:H54"/>
    <mergeCell ref="I54:K54"/>
    <mergeCell ref="L54:N56"/>
    <mergeCell ref="C55:D55"/>
    <mergeCell ref="F55:F56"/>
    <mergeCell ref="G55:H56"/>
    <mergeCell ref="I55:K56"/>
    <mergeCell ref="A51:A53"/>
    <mergeCell ref="B51:B53"/>
    <mergeCell ref="G51:H51"/>
    <mergeCell ref="I51:K51"/>
    <mergeCell ref="L51:N53"/>
    <mergeCell ref="C52:D52"/>
    <mergeCell ref="F52:F53"/>
    <mergeCell ref="G52:H53"/>
    <mergeCell ref="I52:K53"/>
    <mergeCell ref="L50:N50"/>
    <mergeCell ref="C46:D46"/>
    <mergeCell ref="F46:H46"/>
    <mergeCell ref="L46:N46"/>
    <mergeCell ref="A47:A49"/>
    <mergeCell ref="B47:B49"/>
    <mergeCell ref="I47:I49"/>
    <mergeCell ref="J47:J49"/>
    <mergeCell ref="K47:K49"/>
    <mergeCell ref="L47:N49"/>
    <mergeCell ref="C48:D48"/>
    <mergeCell ref="F48:F49"/>
    <mergeCell ref="G48:G49"/>
    <mergeCell ref="H48:H49"/>
    <mergeCell ref="C50:D50"/>
    <mergeCell ref="F50:K50"/>
    <mergeCell ref="A45:D45"/>
    <mergeCell ref="K45:N45"/>
    <mergeCell ref="A39:N39"/>
    <mergeCell ref="K40:L40"/>
    <mergeCell ref="M40:N40"/>
    <mergeCell ref="A44:D44"/>
    <mergeCell ref="K44:N44"/>
  </mergeCells>
  <pageMargins left="0.25" right="0.25" top="0.75" bottom="0.75" header="0.3" footer="0.3"/>
  <pageSetup paperSize="9" scale="52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W158"/>
  <sheetViews>
    <sheetView topLeftCell="A28" zoomScale="80" zoomScaleNormal="80" workbookViewId="0">
      <selection activeCell="O40" sqref="O40"/>
    </sheetView>
  </sheetViews>
  <sheetFormatPr defaultRowHeight="18.75" x14ac:dyDescent="0.3"/>
  <cols>
    <col min="1" max="1" width="10.140625" style="125" customWidth="1"/>
    <col min="2" max="2" width="13.5703125" style="125" customWidth="1"/>
    <col min="3" max="3" width="10.140625" style="125" customWidth="1"/>
    <col min="4" max="4" width="9.140625" style="125"/>
    <col min="5" max="5" width="11.28515625" style="125" customWidth="1"/>
    <col min="6" max="6" width="14.7109375" style="125" customWidth="1"/>
    <col min="7" max="7" width="11.5703125" style="125" customWidth="1"/>
    <col min="8" max="8" width="17.140625" style="125" bestFit="1" customWidth="1"/>
    <col min="9" max="9" width="11.5703125" style="125" customWidth="1"/>
    <col min="10" max="10" width="14.140625" style="125" customWidth="1"/>
    <col min="11" max="11" width="3.140625" style="125" customWidth="1"/>
    <col min="12" max="12" width="17.85546875" style="125" customWidth="1"/>
    <col min="13" max="13" width="5.7109375" style="125" customWidth="1"/>
    <col min="14" max="16384" width="9.140625" style="125"/>
  </cols>
  <sheetData>
    <row r="1" spans="1:23" x14ac:dyDescent="0.3">
      <c r="A1" s="152"/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4">
        <v>1</v>
      </c>
    </row>
    <row r="2" spans="1:23" x14ac:dyDescent="0.3">
      <c r="A2" s="155"/>
      <c r="H2" s="86"/>
      <c r="I2" s="86"/>
      <c r="J2" s="732" t="s">
        <v>691</v>
      </c>
      <c r="K2" s="732"/>
      <c r="L2" s="750" t="str">
        <f>G40</f>
        <v>Зинченко М. А.</v>
      </c>
      <c r="M2" s="751"/>
    </row>
    <row r="3" spans="1:23" x14ac:dyDescent="0.3">
      <c r="A3" s="155"/>
      <c r="J3" s="732" t="s">
        <v>331</v>
      </c>
      <c r="K3" s="732"/>
      <c r="L3" s="732"/>
      <c r="M3" s="733"/>
    </row>
    <row r="4" spans="1:23" ht="19.5" thickBot="1" x14ac:dyDescent="0.35">
      <c r="A4" s="155"/>
      <c r="J4" s="746" t="str">
        <f>Дог.!M7</f>
        <v>=D7</v>
      </c>
      <c r="K4" s="746"/>
      <c r="L4" s="746"/>
      <c r="M4" s="747"/>
      <c r="O4" s="126"/>
    </row>
    <row r="5" spans="1:23" x14ac:dyDescent="0.3">
      <c r="A5" s="155"/>
      <c r="J5" s="732" t="s">
        <v>332</v>
      </c>
      <c r="K5" s="732"/>
      <c r="L5" s="732"/>
      <c r="M5" s="733"/>
      <c r="O5" s="752" t="s">
        <v>497</v>
      </c>
      <c r="P5" s="753"/>
      <c r="Q5" s="753"/>
      <c r="R5" s="753"/>
      <c r="S5" s="753"/>
      <c r="T5" s="753"/>
      <c r="U5" s="753"/>
      <c r="V5" s="753"/>
      <c r="W5" s="754"/>
    </row>
    <row r="6" spans="1:23" x14ac:dyDescent="0.3">
      <c r="A6" s="155"/>
      <c r="M6" s="134"/>
      <c r="O6" s="755"/>
      <c r="P6" s="756"/>
      <c r="Q6" s="756"/>
      <c r="R6" s="756"/>
      <c r="S6" s="756"/>
      <c r="T6" s="756"/>
      <c r="U6" s="756"/>
      <c r="V6" s="756"/>
      <c r="W6" s="757"/>
    </row>
    <row r="7" spans="1:23" x14ac:dyDescent="0.3">
      <c r="A7" s="155"/>
      <c r="M7" s="134"/>
      <c r="O7" s="755"/>
      <c r="P7" s="756"/>
      <c r="Q7" s="756"/>
      <c r="R7" s="756"/>
      <c r="S7" s="756"/>
      <c r="T7" s="756"/>
      <c r="U7" s="756"/>
      <c r="V7" s="756"/>
      <c r="W7" s="757"/>
    </row>
    <row r="8" spans="1:23" ht="19.5" thickBot="1" x14ac:dyDescent="0.35">
      <c r="A8" s="155"/>
      <c r="M8" s="134"/>
      <c r="O8" s="758"/>
      <c r="P8" s="759"/>
      <c r="Q8" s="759"/>
      <c r="R8" s="759"/>
      <c r="S8" s="759"/>
      <c r="T8" s="759"/>
      <c r="U8" s="759"/>
      <c r="V8" s="759"/>
      <c r="W8" s="760"/>
    </row>
    <row r="9" spans="1:23" ht="32.25" thickBot="1" x14ac:dyDescent="0.55000000000000004">
      <c r="A9" s="734" t="s">
        <v>333</v>
      </c>
      <c r="B9" s="735"/>
      <c r="C9" s="735"/>
      <c r="D9" s="735"/>
      <c r="E9" s="735"/>
      <c r="F9" s="735"/>
      <c r="G9" s="735"/>
      <c r="H9" s="735"/>
      <c r="I9" s="735"/>
      <c r="J9" s="735"/>
      <c r="K9" s="735"/>
      <c r="L9" s="735"/>
      <c r="M9" s="736"/>
    </row>
    <row r="10" spans="1:23" x14ac:dyDescent="0.3">
      <c r="A10" s="155"/>
      <c r="M10" s="134"/>
    </row>
    <row r="11" spans="1:23" x14ac:dyDescent="0.3">
      <c r="A11" s="156"/>
      <c r="B11" s="137"/>
      <c r="C11" s="137"/>
      <c r="D11" s="737" t="s">
        <v>327</v>
      </c>
      <c r="E11" s="737"/>
      <c r="F11" s="761" t="str">
        <f>Дог.!$A$18</f>
        <v>{{CLIENT_FULLNAME}}</v>
      </c>
      <c r="G11" s="761"/>
      <c r="H11" s="761"/>
      <c r="I11" s="761"/>
      <c r="J11" s="761"/>
      <c r="K11" s="137"/>
      <c r="L11" s="127" t="str">
        <f>Дог.!A23</f>
        <v>ХХХХХ</v>
      </c>
      <c r="M11" s="157" t="s">
        <v>248</v>
      </c>
    </row>
    <row r="12" spans="1:23" ht="19.5" thickBot="1" x14ac:dyDescent="0.35">
      <c r="A12" s="155"/>
      <c r="M12" s="134"/>
    </row>
    <row r="13" spans="1:23" ht="19.5" thickBot="1" x14ac:dyDescent="0.35">
      <c r="A13" s="704" t="s">
        <v>337</v>
      </c>
      <c r="B13" s="705"/>
      <c r="C13" s="705"/>
      <c r="D13" s="705"/>
      <c r="E13" s="705"/>
      <c r="F13" s="705"/>
      <c r="G13" s="128">
        <f ca="1">Дог.!J10</f>
        <v>21</v>
      </c>
      <c r="H13" s="129">
        <f ca="1">Дог.!K10</f>
        <v>11</v>
      </c>
      <c r="I13" s="129">
        <f ca="1">Дог.!L10</f>
        <v>2025</v>
      </c>
      <c r="J13" s="234">
        <f ca="1">Дог.!M10</f>
        <v>45982.790570370373</v>
      </c>
      <c r="K13" s="131" t="s">
        <v>250</v>
      </c>
      <c r="L13" s="136">
        <f ca="1">'Пр №1'!J21</f>
        <v>45982</v>
      </c>
      <c r="M13" s="134"/>
    </row>
    <row r="14" spans="1:23" x14ac:dyDescent="0.3">
      <c r="A14" s="704" t="s">
        <v>358</v>
      </c>
      <c r="B14" s="705"/>
      <c r="C14" s="705"/>
      <c r="D14" s="705"/>
      <c r="E14" s="705"/>
      <c r="F14" s="705"/>
      <c r="G14" s="705"/>
      <c r="H14" s="705"/>
      <c r="I14" s="705"/>
      <c r="J14" s="705"/>
      <c r="K14" s="705"/>
      <c r="L14" s="705"/>
      <c r="M14" s="706"/>
    </row>
    <row r="15" spans="1:23" x14ac:dyDescent="0.3">
      <c r="A15" s="704" t="s">
        <v>476</v>
      </c>
      <c r="B15" s="705"/>
      <c r="C15" s="705"/>
      <c r="D15" s="705"/>
      <c r="E15" s="705"/>
      <c r="F15" s="705"/>
      <c r="G15" s="705"/>
      <c r="H15" s="705"/>
      <c r="I15" s="705"/>
      <c r="J15" s="705"/>
      <c r="K15" s="705"/>
      <c r="L15" s="705"/>
      <c r="M15" s="706"/>
    </row>
    <row r="16" spans="1:23" x14ac:dyDescent="0.3">
      <c r="A16" s="718" t="s">
        <v>376</v>
      </c>
      <c r="B16" s="719"/>
      <c r="C16" s="719"/>
      <c r="D16" s="719"/>
      <c r="E16" s="719"/>
      <c r="F16" s="719"/>
      <c r="G16" s="719"/>
      <c r="H16" s="719"/>
      <c r="I16" s="719"/>
      <c r="J16" s="150">
        <f ca="1">'Пр №1'!K31</f>
        <v>45982.790570370373</v>
      </c>
      <c r="K16" s="131"/>
      <c r="L16" s="136">
        <f ca="1">'Пр №1'!M31</f>
        <v>45983</v>
      </c>
      <c r="M16" s="158"/>
    </row>
    <row r="17" spans="1:13" x14ac:dyDescent="0.3">
      <c r="A17" s="718" t="s">
        <v>377</v>
      </c>
      <c r="B17" s="719"/>
      <c r="C17" s="719"/>
      <c r="D17" s="719"/>
      <c r="E17" s="719"/>
      <c r="F17" s="719"/>
      <c r="G17" s="719"/>
      <c r="H17" s="719"/>
      <c r="I17" s="719"/>
      <c r="J17" s="719"/>
      <c r="K17" s="719"/>
      <c r="L17" s="719"/>
      <c r="M17" s="720"/>
    </row>
    <row r="18" spans="1:13" x14ac:dyDescent="0.3">
      <c r="A18" s="718" t="s">
        <v>378</v>
      </c>
      <c r="B18" s="719"/>
      <c r="C18" s="719"/>
      <c r="D18" s="719"/>
      <c r="E18" s="719"/>
      <c r="F18" s="719"/>
      <c r="G18" s="719"/>
      <c r="H18" s="719"/>
      <c r="I18" s="719"/>
      <c r="J18" s="719"/>
      <c r="K18" s="719"/>
      <c r="L18" s="719"/>
      <c r="M18" s="720"/>
    </row>
    <row r="19" spans="1:13" x14ac:dyDescent="0.3">
      <c r="A19" s="718">
        <f>H2</f>
        <v>0</v>
      </c>
      <c r="B19" s="719"/>
      <c r="C19" s="731" t="s">
        <v>379</v>
      </c>
      <c r="D19" s="731"/>
      <c r="E19" s="731"/>
      <c r="F19" s="136">
        <f ca="1">'Пр №1'!J21</f>
        <v>45982</v>
      </c>
      <c r="G19" s="719" t="s">
        <v>380</v>
      </c>
      <c r="H19" s="719"/>
      <c r="I19" s="719"/>
      <c r="J19" s="719"/>
      <c r="K19" s="719"/>
      <c r="L19" s="719"/>
      <c r="M19" s="720"/>
    </row>
    <row r="20" spans="1:13" x14ac:dyDescent="0.3">
      <c r="A20" s="718" t="s">
        <v>381</v>
      </c>
      <c r="B20" s="719"/>
      <c r="C20" s="719"/>
      <c r="D20" s="721">
        <f ca="1">'Акт расч'!P48</f>
        <v>-3000</v>
      </c>
      <c r="E20" s="721"/>
      <c r="F20" s="148"/>
      <c r="G20" s="148"/>
      <c r="H20" s="148"/>
      <c r="I20" s="148"/>
      <c r="J20" s="148"/>
      <c r="K20" s="148"/>
      <c r="L20" s="148"/>
      <c r="M20" s="159"/>
    </row>
    <row r="21" spans="1:13" ht="19.5" thickBot="1" x14ac:dyDescent="0.35">
      <c r="A21" s="160"/>
      <c r="B21" s="146"/>
      <c r="C21" s="45"/>
      <c r="D21" s="750"/>
      <c r="E21" s="750"/>
      <c r="F21" s="750"/>
      <c r="G21" s="750"/>
      <c r="H21" s="750"/>
      <c r="I21" s="721"/>
      <c r="J21" s="721"/>
      <c r="K21" s="721"/>
      <c r="L21" s="721"/>
      <c r="M21" s="161"/>
    </row>
    <row r="22" spans="1:13" ht="19.5" thickBot="1" x14ac:dyDescent="0.35">
      <c r="A22" s="741" t="s">
        <v>328</v>
      </c>
      <c r="B22" s="288"/>
      <c r="C22" s="748">
        <f ca="1">F19+1</f>
        <v>45983</v>
      </c>
      <c r="D22" s="749"/>
      <c r="E22" s="723" t="s">
        <v>329</v>
      </c>
      <c r="F22" s="723"/>
      <c r="G22" s="723"/>
      <c r="H22" s="723"/>
      <c r="I22" s="723"/>
      <c r="J22" s="723"/>
      <c r="K22" s="723"/>
      <c r="L22" s="723"/>
      <c r="M22" s="724"/>
    </row>
    <row r="23" spans="1:13" x14ac:dyDescent="0.3">
      <c r="A23" s="155"/>
      <c r="C23" s="136"/>
      <c r="D23" s="131"/>
      <c r="M23" s="134"/>
    </row>
    <row r="24" spans="1:13" x14ac:dyDescent="0.3">
      <c r="A24" s="722" t="s">
        <v>475</v>
      </c>
      <c r="B24" s="723"/>
      <c r="C24" s="723"/>
      <c r="D24" s="723"/>
      <c r="E24" s="723"/>
      <c r="F24" s="723"/>
      <c r="G24" s="723"/>
      <c r="H24" s="723"/>
      <c r="I24" s="723"/>
      <c r="J24" s="723"/>
      <c r="K24" s="723"/>
      <c r="L24" s="723"/>
      <c r="M24" s="724"/>
    </row>
    <row r="25" spans="1:13" x14ac:dyDescent="0.3">
      <c r="A25" s="718" t="s">
        <v>325</v>
      </c>
      <c r="B25" s="719"/>
      <c r="C25" s="719"/>
      <c r="D25" s="719"/>
      <c r="E25" s="719"/>
      <c r="F25" s="719"/>
      <c r="G25" s="719"/>
      <c r="H25" s="719"/>
      <c r="I25" s="719"/>
      <c r="J25" s="719"/>
      <c r="K25" s="719"/>
      <c r="L25" s="719"/>
      <c r="M25" s="720"/>
    </row>
    <row r="26" spans="1:13" x14ac:dyDescent="0.3">
      <c r="A26" s="718" t="s">
        <v>326</v>
      </c>
      <c r="B26" s="719"/>
      <c r="C26" s="719"/>
      <c r="D26" s="719"/>
      <c r="E26" s="719"/>
      <c r="F26" s="719"/>
      <c r="G26" s="719"/>
      <c r="H26" s="719"/>
      <c r="I26" s="719"/>
      <c r="J26" s="719"/>
      <c r="K26" s="719"/>
      <c r="L26" s="719"/>
      <c r="M26" s="720"/>
    </row>
    <row r="27" spans="1:13" x14ac:dyDescent="0.3">
      <c r="A27" s="718" t="s">
        <v>488</v>
      </c>
      <c r="B27" s="719"/>
      <c r="C27" s="719"/>
      <c r="D27" s="719"/>
      <c r="E27" s="719"/>
      <c r="F27" s="719"/>
      <c r="G27" s="719"/>
      <c r="H27" s="719"/>
      <c r="I27" s="719"/>
      <c r="J27" s="719"/>
      <c r="K27" s="719"/>
      <c r="L27" s="719"/>
      <c r="M27" s="720"/>
    </row>
    <row r="28" spans="1:13" x14ac:dyDescent="0.3">
      <c r="A28" s="718" t="s">
        <v>384</v>
      </c>
      <c r="B28" s="719"/>
      <c r="C28" s="719"/>
      <c r="D28" s="719"/>
      <c r="E28" s="719"/>
      <c r="F28" s="719"/>
      <c r="G28" s="719"/>
      <c r="H28" s="719"/>
      <c r="I28" s="719"/>
      <c r="J28" s="719"/>
      <c r="K28" s="719"/>
      <c r="L28" s="719"/>
      <c r="M28" s="720"/>
    </row>
    <row r="29" spans="1:13" x14ac:dyDescent="0.3">
      <c r="A29" s="718" t="s">
        <v>382</v>
      </c>
      <c r="B29" s="719"/>
      <c r="C29" s="719"/>
      <c r="D29" s="719"/>
      <c r="E29" s="719"/>
      <c r="F29" s="719"/>
      <c r="G29" s="719"/>
      <c r="H29" s="719"/>
      <c r="I29" s="719"/>
      <c r="J29" s="719"/>
      <c r="K29" s="719"/>
      <c r="L29" s="719"/>
      <c r="M29" s="720"/>
    </row>
    <row r="30" spans="1:13" x14ac:dyDescent="0.3">
      <c r="A30" s="718" t="s">
        <v>489</v>
      </c>
      <c r="B30" s="719"/>
      <c r="C30" s="719"/>
      <c r="D30" s="719"/>
      <c r="E30" s="719"/>
      <c r="F30" s="719"/>
      <c r="G30" s="719"/>
      <c r="H30" s="719"/>
      <c r="I30" s="719"/>
      <c r="J30" s="719"/>
      <c r="K30" s="719"/>
      <c r="L30" s="719"/>
      <c r="M30" s="720"/>
    </row>
    <row r="31" spans="1:13" x14ac:dyDescent="0.3">
      <c r="A31" s="718" t="s">
        <v>383</v>
      </c>
      <c r="B31" s="719"/>
      <c r="C31" s="719"/>
      <c r="D31" s="719"/>
      <c r="E31" s="719"/>
      <c r="F31" s="719"/>
      <c r="G31" s="719"/>
      <c r="H31" s="719"/>
      <c r="I31" s="719"/>
      <c r="J31" s="719"/>
      <c r="K31" s="719"/>
      <c r="L31" s="719"/>
      <c r="M31" s="720"/>
    </row>
    <row r="32" spans="1:13" x14ac:dyDescent="0.3">
      <c r="A32" s="718" t="s">
        <v>352</v>
      </c>
      <c r="B32" s="719"/>
      <c r="C32" s="719"/>
      <c r="D32" s="719"/>
      <c r="E32" s="719"/>
      <c r="F32" s="719"/>
      <c r="G32" s="719"/>
      <c r="H32" s="719"/>
      <c r="I32" s="719"/>
      <c r="J32" s="719"/>
      <c r="K32" s="719"/>
      <c r="L32" s="719"/>
      <c r="M32" s="720"/>
    </row>
    <row r="33" spans="1:13" x14ac:dyDescent="0.3">
      <c r="A33" s="155"/>
      <c r="C33" s="136"/>
      <c r="D33" s="131"/>
      <c r="M33" s="134"/>
    </row>
    <row r="34" spans="1:13" x14ac:dyDescent="0.3">
      <c r="A34" s="155"/>
      <c r="C34" s="136"/>
      <c r="D34" s="131"/>
      <c r="M34" s="134"/>
    </row>
    <row r="35" spans="1:13" x14ac:dyDescent="0.3">
      <c r="A35" s="741" t="s">
        <v>392</v>
      </c>
      <c r="B35" s="288"/>
      <c r="C35" s="288"/>
      <c r="D35" s="288"/>
      <c r="E35" s="288"/>
      <c r="F35" s="288"/>
      <c r="G35" s="288"/>
      <c r="H35" s="288"/>
      <c r="I35" s="288"/>
      <c r="J35" s="288"/>
      <c r="K35" s="288"/>
      <c r="L35" s="288"/>
      <c r="M35" s="742"/>
    </row>
    <row r="36" spans="1:13" x14ac:dyDescent="0.3">
      <c r="A36" s="741"/>
      <c r="B36" s="288"/>
      <c r="C36" s="288"/>
      <c r="D36" s="288"/>
      <c r="E36" s="288"/>
      <c r="F36" s="288"/>
      <c r="G36" s="288"/>
      <c r="H36" s="288"/>
      <c r="I36" s="288"/>
      <c r="J36" s="288"/>
      <c r="K36" s="288"/>
      <c r="L36" s="288"/>
      <c r="M36" s="742"/>
    </row>
    <row r="37" spans="1:13" x14ac:dyDescent="0.3">
      <c r="A37" s="155"/>
      <c r="C37" s="133"/>
      <c r="D37" s="132"/>
      <c r="E37" s="86"/>
      <c r="F37" s="86"/>
      <c r="G37" s="86"/>
      <c r="H37" s="86"/>
      <c r="I37" s="86"/>
      <c r="J37" s="86"/>
      <c r="K37" s="86"/>
      <c r="L37" s="86"/>
      <c r="M37" s="151"/>
    </row>
    <row r="38" spans="1:13" x14ac:dyDescent="0.3">
      <c r="A38" s="704"/>
      <c r="B38" s="705"/>
      <c r="C38" s="705"/>
      <c r="D38" s="705"/>
      <c r="E38" s="705"/>
      <c r="F38" s="705"/>
      <c r="G38" s="705"/>
      <c r="H38" s="705"/>
      <c r="I38" s="705"/>
      <c r="J38" s="705"/>
      <c r="K38" s="705"/>
      <c r="L38" s="705"/>
      <c r="M38" s="706"/>
    </row>
    <row r="39" spans="1:13" x14ac:dyDescent="0.3">
      <c r="A39" s="155"/>
      <c r="M39" s="134"/>
    </row>
    <row r="40" spans="1:13" x14ac:dyDescent="0.3">
      <c r="A40" s="155"/>
      <c r="B40" s="130" t="s">
        <v>78</v>
      </c>
      <c r="C40" s="725">
        <f ca="1">F19</f>
        <v>45982</v>
      </c>
      <c r="D40" s="743"/>
      <c r="G40" s="288" t="str">
        <f>Дог.!A67</f>
        <v>Зинченко М. А.</v>
      </c>
      <c r="H40" s="288"/>
      <c r="I40" s="288"/>
      <c r="J40" s="726"/>
      <c r="K40" s="726"/>
      <c r="L40" s="726"/>
      <c r="M40" s="727"/>
    </row>
    <row r="41" spans="1:13" x14ac:dyDescent="0.3">
      <c r="A41" s="155"/>
      <c r="J41" s="716" t="s">
        <v>330</v>
      </c>
      <c r="K41" s="716"/>
      <c r="L41" s="716"/>
      <c r="M41" s="717"/>
    </row>
    <row r="42" spans="1:13" x14ac:dyDescent="0.3">
      <c r="A42" s="155"/>
      <c r="M42" s="134"/>
    </row>
    <row r="43" spans="1:13" x14ac:dyDescent="0.3">
      <c r="A43" s="155"/>
      <c r="M43" s="134"/>
    </row>
    <row r="44" spans="1:13" ht="19.5" thickBot="1" x14ac:dyDescent="0.35">
      <c r="A44" s="162"/>
      <c r="B44" s="163"/>
      <c r="C44" s="163"/>
      <c r="D44" s="163"/>
      <c r="E44" s="163"/>
      <c r="F44" s="163"/>
      <c r="G44" s="163"/>
      <c r="H44" s="163"/>
      <c r="I44" s="163"/>
      <c r="J44" s="163"/>
      <c r="K44" s="163"/>
      <c r="L44" s="163"/>
      <c r="M44" s="164"/>
    </row>
    <row r="45" spans="1:13" x14ac:dyDescent="0.3">
      <c r="A45" s="152"/>
      <c r="B45" s="153"/>
      <c r="C45" s="153"/>
      <c r="D45" s="153"/>
      <c r="E45" s="153"/>
      <c r="F45" s="153"/>
      <c r="G45" s="153"/>
      <c r="H45" s="153"/>
      <c r="I45" s="153"/>
      <c r="J45" s="153"/>
      <c r="K45" s="153"/>
      <c r="L45" s="153"/>
      <c r="M45" s="154">
        <v>2</v>
      </c>
    </row>
    <row r="46" spans="1:13" x14ac:dyDescent="0.3">
      <c r="A46" s="155"/>
      <c r="H46" s="86"/>
      <c r="I46" s="86"/>
      <c r="J46" s="732" t="s">
        <v>691</v>
      </c>
      <c r="K46" s="732"/>
      <c r="L46" s="750" t="str">
        <f>G40</f>
        <v>Зинченко М. А.</v>
      </c>
      <c r="M46" s="751"/>
    </row>
    <row r="47" spans="1:13" x14ac:dyDescent="0.3">
      <c r="A47" s="155"/>
      <c r="J47" s="732" t="s">
        <v>331</v>
      </c>
      <c r="K47" s="732"/>
      <c r="L47" s="732"/>
      <c r="M47" s="733"/>
    </row>
    <row r="48" spans="1:13" ht="19.5" thickBot="1" x14ac:dyDescent="0.35">
      <c r="A48" s="155"/>
      <c r="J48" s="746" t="str">
        <f>J4</f>
        <v>=D7</v>
      </c>
      <c r="K48" s="746"/>
      <c r="L48" s="746"/>
      <c r="M48" s="747"/>
    </row>
    <row r="49" spans="1:23" x14ac:dyDescent="0.3">
      <c r="A49" s="155"/>
      <c r="J49" s="732" t="s">
        <v>332</v>
      </c>
      <c r="K49" s="732"/>
      <c r="L49" s="732"/>
      <c r="M49" s="733"/>
      <c r="O49" s="752" t="str">
        <f>O5</f>
        <v>Взяли оборудование не оплатили арендную платы и не вернули оборудование</v>
      </c>
      <c r="P49" s="753"/>
      <c r="Q49" s="753"/>
      <c r="R49" s="753"/>
      <c r="S49" s="753"/>
      <c r="T49" s="753"/>
      <c r="U49" s="753"/>
      <c r="V49" s="753"/>
      <c r="W49" s="754"/>
    </row>
    <row r="50" spans="1:23" x14ac:dyDescent="0.3">
      <c r="A50" s="155"/>
      <c r="M50" s="134"/>
      <c r="O50" s="755"/>
      <c r="P50" s="756"/>
      <c r="Q50" s="756"/>
      <c r="R50" s="756"/>
      <c r="S50" s="756"/>
      <c r="T50" s="756"/>
      <c r="U50" s="756"/>
      <c r="V50" s="756"/>
      <c r="W50" s="757"/>
    </row>
    <row r="51" spans="1:23" x14ac:dyDescent="0.3">
      <c r="A51" s="155"/>
      <c r="M51" s="134"/>
      <c r="O51" s="755"/>
      <c r="P51" s="756"/>
      <c r="Q51" s="756"/>
      <c r="R51" s="756"/>
      <c r="S51" s="756"/>
      <c r="T51" s="756"/>
      <c r="U51" s="756"/>
      <c r="V51" s="756"/>
      <c r="W51" s="757"/>
    </row>
    <row r="52" spans="1:23" ht="19.5" thickBot="1" x14ac:dyDescent="0.35">
      <c r="A52" s="155"/>
      <c r="M52" s="134"/>
      <c r="O52" s="758"/>
      <c r="P52" s="759"/>
      <c r="Q52" s="759"/>
      <c r="R52" s="759"/>
      <c r="S52" s="759"/>
      <c r="T52" s="759"/>
      <c r="U52" s="759"/>
      <c r="V52" s="759"/>
      <c r="W52" s="760"/>
    </row>
    <row r="53" spans="1:23" ht="32.25" thickBot="1" x14ac:dyDescent="0.55000000000000004">
      <c r="A53" s="734" t="s">
        <v>395</v>
      </c>
      <c r="B53" s="735"/>
      <c r="C53" s="735"/>
      <c r="D53" s="735"/>
      <c r="E53" s="735"/>
      <c r="F53" s="735"/>
      <c r="G53" s="735"/>
      <c r="H53" s="735"/>
      <c r="I53" s="735"/>
      <c r="J53" s="735"/>
      <c r="K53" s="735"/>
      <c r="L53" s="735"/>
      <c r="M53" s="736"/>
    </row>
    <row r="54" spans="1:23" x14ac:dyDescent="0.3">
      <c r="A54" s="155"/>
      <c r="M54" s="134"/>
    </row>
    <row r="55" spans="1:23" x14ac:dyDescent="0.3">
      <c r="A55" s="156"/>
      <c r="B55" s="137"/>
      <c r="C55" s="137"/>
      <c r="D55" s="737" t="s">
        <v>327</v>
      </c>
      <c r="E55" s="737"/>
      <c r="F55" s="737" t="str">
        <f>Дог.!$A$18</f>
        <v>{{CLIENT_FULLNAME}}</v>
      </c>
      <c r="G55" s="737"/>
      <c r="H55" s="737"/>
      <c r="I55" s="737"/>
      <c r="J55" s="737"/>
      <c r="K55" s="137"/>
      <c r="L55" s="127" t="str">
        <f>L11</f>
        <v>ХХХХХ</v>
      </c>
      <c r="M55" s="157" t="s">
        <v>248</v>
      </c>
    </row>
    <row r="56" spans="1:23" ht="19.5" thickBot="1" x14ac:dyDescent="0.35">
      <c r="A56" s="155"/>
      <c r="M56" s="134"/>
    </row>
    <row r="57" spans="1:23" ht="19.5" thickBot="1" x14ac:dyDescent="0.35">
      <c r="A57" s="704" t="s">
        <v>337</v>
      </c>
      <c r="B57" s="705"/>
      <c r="C57" s="705"/>
      <c r="D57" s="705"/>
      <c r="E57" s="705"/>
      <c r="F57" s="705"/>
      <c r="G57" s="128">
        <f ca="1">G13</f>
        <v>21</v>
      </c>
      <c r="H57" s="129">
        <f ca="1">H13</f>
        <v>11</v>
      </c>
      <c r="I57" s="129">
        <f ca="1">I13</f>
        <v>2025</v>
      </c>
      <c r="J57" s="234">
        <f ca="1">J13</f>
        <v>45982.790570370373</v>
      </c>
      <c r="K57" s="131" t="s">
        <v>250</v>
      </c>
      <c r="L57" s="136">
        <f ca="1">L13</f>
        <v>45982</v>
      </c>
      <c r="M57" s="134"/>
    </row>
    <row r="58" spans="1:23" x14ac:dyDescent="0.3">
      <c r="A58" s="704" t="s">
        <v>358</v>
      </c>
      <c r="B58" s="705"/>
      <c r="C58" s="705"/>
      <c r="D58" s="705"/>
      <c r="E58" s="705"/>
      <c r="F58" s="705"/>
      <c r="G58" s="705"/>
      <c r="H58" s="705"/>
      <c r="I58" s="705"/>
      <c r="J58" s="705"/>
      <c r="K58" s="705"/>
      <c r="L58" s="705"/>
      <c r="M58" s="706"/>
    </row>
    <row r="59" spans="1:23" x14ac:dyDescent="0.3">
      <c r="A59" s="704" t="s">
        <v>476</v>
      </c>
      <c r="B59" s="705"/>
      <c r="C59" s="705"/>
      <c r="D59" s="705"/>
      <c r="E59" s="705"/>
      <c r="F59" s="705"/>
      <c r="G59" s="705"/>
      <c r="H59" s="705"/>
      <c r="I59" s="705"/>
      <c r="J59" s="705"/>
      <c r="K59" s="705"/>
      <c r="L59" s="705"/>
      <c r="M59" s="706"/>
    </row>
    <row r="60" spans="1:23" x14ac:dyDescent="0.3">
      <c r="A60" s="718" t="s">
        <v>376</v>
      </c>
      <c r="B60" s="719"/>
      <c r="C60" s="719"/>
      <c r="D60" s="719"/>
      <c r="E60" s="719"/>
      <c r="F60" s="719"/>
      <c r="G60" s="719"/>
      <c r="H60" s="719"/>
      <c r="I60" s="719"/>
      <c r="J60" s="150">
        <f ca="1">J16</f>
        <v>45982.790570370373</v>
      </c>
      <c r="K60" s="131"/>
      <c r="L60" s="136">
        <f ca="1">L16</f>
        <v>45983</v>
      </c>
      <c r="M60" s="158"/>
    </row>
    <row r="61" spans="1:23" x14ac:dyDescent="0.3">
      <c r="A61" s="718" t="s">
        <v>377</v>
      </c>
      <c r="B61" s="719"/>
      <c r="C61" s="719"/>
      <c r="D61" s="719"/>
      <c r="E61" s="719"/>
      <c r="F61" s="719"/>
      <c r="G61" s="719"/>
      <c r="H61" s="719"/>
      <c r="I61" s="719"/>
      <c r="J61" s="719"/>
      <c r="K61" s="719"/>
      <c r="L61" s="719"/>
      <c r="M61" s="720"/>
    </row>
    <row r="62" spans="1:23" x14ac:dyDescent="0.3">
      <c r="A62" s="718" t="s">
        <v>378</v>
      </c>
      <c r="B62" s="719"/>
      <c r="C62" s="719"/>
      <c r="D62" s="719"/>
      <c r="E62" s="719"/>
      <c r="F62" s="719"/>
      <c r="G62" s="719"/>
      <c r="H62" s="719"/>
      <c r="I62" s="719"/>
      <c r="J62" s="719"/>
      <c r="K62" s="719"/>
      <c r="L62" s="719"/>
      <c r="M62" s="720"/>
    </row>
    <row r="63" spans="1:23" x14ac:dyDescent="0.3">
      <c r="A63" s="718">
        <f>H46</f>
        <v>0</v>
      </c>
      <c r="B63" s="719"/>
      <c r="C63" s="731" t="s">
        <v>379</v>
      </c>
      <c r="D63" s="731"/>
      <c r="E63" s="731"/>
      <c r="F63" s="136">
        <f ca="1">F19</f>
        <v>45982</v>
      </c>
      <c r="G63" s="719" t="s">
        <v>380</v>
      </c>
      <c r="H63" s="719"/>
      <c r="I63" s="719"/>
      <c r="J63" s="719"/>
      <c r="K63" s="719"/>
      <c r="L63" s="719"/>
      <c r="M63" s="720"/>
    </row>
    <row r="64" spans="1:23" x14ac:dyDescent="0.3">
      <c r="A64" s="718" t="s">
        <v>487</v>
      </c>
      <c r="B64" s="719"/>
      <c r="C64" s="719"/>
      <c r="D64" s="719"/>
      <c r="E64" s="719"/>
      <c r="F64" s="719"/>
      <c r="G64" s="719"/>
      <c r="H64" s="719"/>
      <c r="I64" s="719"/>
      <c r="J64" s="719"/>
      <c r="K64" s="719"/>
      <c r="L64" s="719"/>
      <c r="M64" s="720"/>
    </row>
    <row r="65" spans="1:15" x14ac:dyDescent="0.3">
      <c r="A65" s="718" t="s">
        <v>486</v>
      </c>
      <c r="B65" s="719"/>
      <c r="C65" s="719"/>
      <c r="D65" s="719"/>
      <c r="E65" s="719"/>
      <c r="F65" s="719"/>
      <c r="G65" s="719"/>
      <c r="H65" s="719"/>
      <c r="I65" s="719"/>
      <c r="J65" s="719"/>
      <c r="K65" s="719"/>
      <c r="L65" s="719"/>
      <c r="M65" s="720"/>
    </row>
    <row r="66" spans="1:15" x14ac:dyDescent="0.3">
      <c r="A66" s="704" t="s">
        <v>388</v>
      </c>
      <c r="B66" s="705"/>
      <c r="C66" s="288" t="s">
        <v>389</v>
      </c>
      <c r="D66" s="288"/>
      <c r="E66" s="721">
        <f ca="1">'Акт расч'!P48</f>
        <v>-3000</v>
      </c>
      <c r="F66" s="721"/>
      <c r="G66" s="86"/>
      <c r="H66" s="86"/>
      <c r="I66" s="145"/>
      <c r="J66" s="145"/>
      <c r="K66" s="145"/>
      <c r="L66" s="145"/>
      <c r="M66" s="161"/>
      <c r="O66" s="144"/>
    </row>
    <row r="67" spans="1:15" ht="19.5" thickBot="1" x14ac:dyDescent="0.35">
      <c r="A67" s="160"/>
      <c r="B67" s="146"/>
      <c r="C67" s="45"/>
      <c r="D67" s="132"/>
      <c r="E67" s="132"/>
      <c r="F67" s="132"/>
      <c r="G67" s="132"/>
      <c r="H67" s="132"/>
      <c r="I67" s="135"/>
      <c r="J67" s="135"/>
      <c r="K67" s="135"/>
      <c r="L67" s="135"/>
      <c r="M67" s="161"/>
      <c r="O67" s="144"/>
    </row>
    <row r="68" spans="1:15" ht="19.5" thickBot="1" x14ac:dyDescent="0.35">
      <c r="A68" s="722" t="s">
        <v>328</v>
      </c>
      <c r="B68" s="723"/>
      <c r="C68" s="744">
        <f ca="1">F63+1</f>
        <v>45983</v>
      </c>
      <c r="D68" s="745"/>
      <c r="E68" s="723" t="s">
        <v>387</v>
      </c>
      <c r="F68" s="723"/>
      <c r="G68" s="723"/>
      <c r="H68" s="723"/>
      <c r="I68" s="723"/>
      <c r="J68" s="723"/>
      <c r="K68" s="723"/>
      <c r="L68" s="723"/>
      <c r="M68" s="724"/>
    </row>
    <row r="69" spans="1:15" x14ac:dyDescent="0.3">
      <c r="A69" s="155"/>
      <c r="C69" s="136"/>
      <c r="D69" s="131"/>
      <c r="M69" s="134"/>
    </row>
    <row r="70" spans="1:15" x14ac:dyDescent="0.3">
      <c r="A70" s="722" t="s">
        <v>475</v>
      </c>
      <c r="B70" s="723"/>
      <c r="C70" s="723"/>
      <c r="D70" s="723"/>
      <c r="E70" s="723"/>
      <c r="F70" s="723"/>
      <c r="G70" s="723"/>
      <c r="H70" s="723"/>
      <c r="I70" s="723"/>
      <c r="J70" s="723"/>
      <c r="K70" s="723"/>
      <c r="L70" s="723"/>
      <c r="M70" s="724"/>
    </row>
    <row r="71" spans="1:15" x14ac:dyDescent="0.3">
      <c r="A71" s="718" t="s">
        <v>269</v>
      </c>
      <c r="B71" s="719"/>
      <c r="C71" s="719"/>
      <c r="D71" s="719"/>
      <c r="E71" s="719"/>
      <c r="F71" s="719"/>
      <c r="G71" s="719"/>
      <c r="H71" s="719"/>
      <c r="I71" s="719"/>
      <c r="J71" s="719"/>
      <c r="K71" s="719"/>
      <c r="L71" s="719"/>
      <c r="M71" s="720"/>
    </row>
    <row r="72" spans="1:15" x14ac:dyDescent="0.3">
      <c r="A72" s="718" t="s">
        <v>396</v>
      </c>
      <c r="B72" s="719"/>
      <c r="C72" s="719"/>
      <c r="D72" s="719"/>
      <c r="E72" s="719"/>
      <c r="F72" s="719"/>
      <c r="G72" s="719"/>
      <c r="H72" s="719"/>
      <c r="I72" s="719"/>
      <c r="J72" s="719"/>
      <c r="K72" s="719"/>
      <c r="L72" s="719"/>
      <c r="M72" s="720"/>
    </row>
    <row r="73" spans="1:15" x14ac:dyDescent="0.3">
      <c r="A73" s="718" t="s">
        <v>270</v>
      </c>
      <c r="B73" s="719"/>
      <c r="C73" s="719"/>
      <c r="D73" s="719"/>
      <c r="E73" s="719"/>
      <c r="F73" s="719"/>
      <c r="G73" s="719"/>
      <c r="H73" s="719"/>
      <c r="I73" s="719"/>
      <c r="J73" s="719"/>
      <c r="K73" s="719"/>
      <c r="L73" s="719"/>
      <c r="M73" s="720"/>
    </row>
    <row r="74" spans="1:15" x14ac:dyDescent="0.3">
      <c r="A74" s="718" t="s">
        <v>271</v>
      </c>
      <c r="B74" s="719"/>
      <c r="C74" s="719"/>
      <c r="D74" s="719"/>
      <c r="E74" s="719"/>
      <c r="F74" s="719"/>
      <c r="G74" s="719"/>
      <c r="H74" s="719"/>
      <c r="I74" s="719"/>
      <c r="J74" s="719"/>
      <c r="K74" s="719"/>
      <c r="L74" s="719"/>
      <c r="M74" s="720"/>
    </row>
    <row r="75" spans="1:15" x14ac:dyDescent="0.3">
      <c r="A75" s="738" t="s">
        <v>397</v>
      </c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40"/>
    </row>
    <row r="76" spans="1:15" x14ac:dyDescent="0.3">
      <c r="A76" s="738" t="s">
        <v>529</v>
      </c>
      <c r="B76" s="739"/>
      <c r="C76" s="739"/>
      <c r="D76" s="739"/>
      <c r="E76" s="739"/>
      <c r="F76" s="739"/>
      <c r="G76" s="739"/>
      <c r="H76" s="166"/>
      <c r="I76" s="166"/>
      <c r="J76" s="166"/>
      <c r="K76" s="166"/>
      <c r="L76" s="166"/>
      <c r="M76" s="169"/>
    </row>
    <row r="77" spans="1:15" x14ac:dyDescent="0.3">
      <c r="A77" s="718" t="s">
        <v>390</v>
      </c>
      <c r="B77" s="719"/>
      <c r="C77" s="719"/>
      <c r="D77" s="719"/>
      <c r="E77" s="719"/>
      <c r="F77" s="719"/>
      <c r="G77" s="719"/>
      <c r="H77" s="719"/>
      <c r="I77" s="719"/>
      <c r="J77" s="719"/>
      <c r="K77" s="719"/>
      <c r="L77" s="719"/>
      <c r="M77" s="720"/>
    </row>
    <row r="78" spans="1:15" x14ac:dyDescent="0.3">
      <c r="A78" s="718" t="s">
        <v>391</v>
      </c>
      <c r="B78" s="719"/>
      <c r="C78" s="719"/>
      <c r="D78" s="719"/>
      <c r="E78" s="719"/>
      <c r="F78" s="719"/>
      <c r="G78" s="719"/>
      <c r="H78" s="719"/>
      <c r="I78" s="719"/>
      <c r="J78" s="719"/>
      <c r="K78" s="719"/>
      <c r="L78" s="719"/>
      <c r="M78" s="720"/>
    </row>
    <row r="79" spans="1:15" x14ac:dyDescent="0.3">
      <c r="A79" s="718" t="s">
        <v>393</v>
      </c>
      <c r="B79" s="719"/>
      <c r="C79" s="719"/>
      <c r="D79" s="719"/>
      <c r="E79" s="719"/>
      <c r="F79" s="719"/>
      <c r="G79" s="719"/>
      <c r="H79" s="719"/>
      <c r="I79" s="719"/>
      <c r="J79" s="719"/>
      <c r="K79" s="719"/>
      <c r="L79" s="719"/>
      <c r="M79" s="720"/>
    </row>
    <row r="80" spans="1:15" x14ac:dyDescent="0.3">
      <c r="A80" s="718" t="s">
        <v>423</v>
      </c>
      <c r="B80" s="719"/>
      <c r="C80" s="719"/>
      <c r="D80" s="719"/>
      <c r="E80" s="719"/>
      <c r="F80" s="719"/>
      <c r="G80" s="719"/>
      <c r="H80" s="719"/>
      <c r="I80" s="719"/>
      <c r="J80" s="719"/>
      <c r="K80" s="719"/>
      <c r="L80" s="719"/>
      <c r="M80" s="720"/>
    </row>
    <row r="81" spans="1:13" x14ac:dyDescent="0.3">
      <c r="A81" s="718" t="s">
        <v>398</v>
      </c>
      <c r="B81" s="719"/>
      <c r="C81" s="719"/>
      <c r="D81" s="719"/>
      <c r="E81" s="719"/>
      <c r="F81" s="719"/>
      <c r="G81" s="719"/>
      <c r="H81" s="719"/>
      <c r="I81" s="719"/>
      <c r="J81" s="719"/>
      <c r="K81" s="719"/>
      <c r="L81" s="719"/>
      <c r="M81" s="720"/>
    </row>
    <row r="82" spans="1:13" x14ac:dyDescent="0.3">
      <c r="A82" s="722" t="s">
        <v>399</v>
      </c>
      <c r="B82" s="723"/>
      <c r="C82" s="723"/>
      <c r="D82" s="723"/>
      <c r="E82" s="723"/>
      <c r="F82" s="723"/>
      <c r="G82" s="723"/>
      <c r="H82" s="723"/>
      <c r="I82" s="723"/>
      <c r="J82" s="723"/>
      <c r="K82" s="723"/>
      <c r="L82" s="723"/>
      <c r="M82" s="724"/>
    </row>
    <row r="83" spans="1:13" x14ac:dyDescent="0.3">
      <c r="A83" s="155"/>
      <c r="C83" s="133"/>
      <c r="D83" s="132"/>
      <c r="E83" s="86"/>
      <c r="F83" s="86"/>
      <c r="G83" s="86"/>
      <c r="H83" s="86"/>
      <c r="I83" s="86"/>
      <c r="J83" s="86"/>
      <c r="K83" s="86"/>
      <c r="L83" s="86"/>
      <c r="M83" s="151"/>
    </row>
    <row r="84" spans="1:13" x14ac:dyDescent="0.3">
      <c r="A84" s="741" t="s">
        <v>394</v>
      </c>
      <c r="B84" s="288"/>
      <c r="C84" s="288"/>
      <c r="D84" s="288"/>
      <c r="E84" s="288"/>
      <c r="F84" s="288"/>
      <c r="G84" s="288"/>
      <c r="H84" s="288"/>
      <c r="I84" s="288"/>
      <c r="J84" s="288"/>
      <c r="K84" s="288"/>
      <c r="L84" s="288"/>
      <c r="M84" s="742"/>
    </row>
    <row r="85" spans="1:13" x14ac:dyDescent="0.3">
      <c r="A85" s="167"/>
      <c r="B85" s="131"/>
      <c r="C85" s="131"/>
      <c r="D85" s="131"/>
      <c r="E85" s="131"/>
      <c r="F85" s="131"/>
      <c r="G85" s="131"/>
      <c r="H85" s="131"/>
      <c r="I85" s="131"/>
      <c r="J85" s="131"/>
      <c r="K85" s="131"/>
      <c r="L85" s="131"/>
      <c r="M85" s="168"/>
    </row>
    <row r="86" spans="1:13" x14ac:dyDescent="0.3">
      <c r="A86" s="155"/>
      <c r="C86" s="136"/>
      <c r="D86" s="131"/>
      <c r="M86" s="134"/>
    </row>
    <row r="87" spans="1:13" x14ac:dyDescent="0.3">
      <c r="A87" s="155"/>
      <c r="M87" s="134"/>
    </row>
    <row r="88" spans="1:13" x14ac:dyDescent="0.3">
      <c r="A88" s="155"/>
      <c r="B88" s="130" t="s">
        <v>78</v>
      </c>
      <c r="C88" s="725">
        <f ca="1">F63</f>
        <v>45982</v>
      </c>
      <c r="D88" s="743"/>
      <c r="G88" s="288" t="str">
        <f>G40</f>
        <v>Зинченко М. А.</v>
      </c>
      <c r="H88" s="288"/>
      <c r="I88" s="288"/>
      <c r="J88" s="726"/>
      <c r="K88" s="726"/>
      <c r="L88" s="726"/>
      <c r="M88" s="727"/>
    </row>
    <row r="89" spans="1:13" x14ac:dyDescent="0.3">
      <c r="A89" s="155"/>
      <c r="J89" s="716" t="s">
        <v>330</v>
      </c>
      <c r="K89" s="716"/>
      <c r="L89" s="716"/>
      <c r="M89" s="717"/>
    </row>
    <row r="90" spans="1:13" x14ac:dyDescent="0.3">
      <c r="A90" s="155"/>
      <c r="M90" s="134"/>
    </row>
    <row r="91" spans="1:13" x14ac:dyDescent="0.3">
      <c r="A91" s="155"/>
      <c r="M91" s="134"/>
    </row>
    <row r="92" spans="1:13" ht="19.5" thickBot="1" x14ac:dyDescent="0.35">
      <c r="A92" s="162"/>
      <c r="B92" s="163"/>
      <c r="C92" s="163"/>
      <c r="D92" s="163"/>
      <c r="E92" s="163"/>
      <c r="F92" s="163"/>
      <c r="G92" s="163"/>
      <c r="H92" s="163"/>
      <c r="I92" s="163"/>
      <c r="J92" s="163"/>
      <c r="K92" s="163"/>
      <c r="L92" s="163"/>
      <c r="M92" s="164"/>
    </row>
    <row r="93" spans="1:13" x14ac:dyDescent="0.3">
      <c r="A93" s="152"/>
      <c r="B93" s="153"/>
      <c r="C93" s="153"/>
      <c r="D93" s="153"/>
      <c r="E93" s="153"/>
      <c r="F93" s="153"/>
      <c r="G93" s="153"/>
      <c r="H93" s="153"/>
      <c r="I93" s="153"/>
      <c r="J93" s="153"/>
      <c r="K93" s="153"/>
      <c r="L93" s="153"/>
      <c r="M93" s="154">
        <v>3</v>
      </c>
    </row>
    <row r="94" spans="1:13" x14ac:dyDescent="0.3">
      <c r="A94" s="155"/>
      <c r="H94" s="86"/>
      <c r="I94" s="86"/>
      <c r="J94" s="732" t="s">
        <v>691</v>
      </c>
      <c r="K94" s="732"/>
      <c r="L94" s="750" t="str">
        <f>G88</f>
        <v>Зинченко М. А.</v>
      </c>
      <c r="M94" s="751"/>
    </row>
    <row r="95" spans="1:13" x14ac:dyDescent="0.3">
      <c r="A95" s="155"/>
      <c r="J95" s="732" t="s">
        <v>331</v>
      </c>
      <c r="K95" s="732"/>
      <c r="L95" s="732"/>
      <c r="M95" s="733"/>
    </row>
    <row r="96" spans="1:13" ht="19.5" thickBot="1" x14ac:dyDescent="0.35">
      <c r="A96" s="155"/>
      <c r="J96" s="746" t="str">
        <f>J48</f>
        <v>=D7</v>
      </c>
      <c r="K96" s="746"/>
      <c r="L96" s="746"/>
      <c r="M96" s="747"/>
    </row>
    <row r="97" spans="1:23" x14ac:dyDescent="0.3">
      <c r="A97" s="155"/>
      <c r="J97" s="732" t="s">
        <v>332</v>
      </c>
      <c r="K97" s="732"/>
      <c r="L97" s="732"/>
      <c r="M97" s="733"/>
      <c r="O97" s="752" t="str">
        <f>O49</f>
        <v>Взяли оборудование не оплатили арендную платы и не вернули оборудование</v>
      </c>
      <c r="P97" s="753"/>
      <c r="Q97" s="753"/>
      <c r="R97" s="753"/>
      <c r="S97" s="753"/>
      <c r="T97" s="753"/>
      <c r="U97" s="753"/>
      <c r="V97" s="753"/>
      <c r="W97" s="754"/>
    </row>
    <row r="98" spans="1:23" x14ac:dyDescent="0.3">
      <c r="A98" s="155"/>
      <c r="M98" s="134"/>
      <c r="O98" s="755"/>
      <c r="P98" s="756"/>
      <c r="Q98" s="756"/>
      <c r="R98" s="756"/>
      <c r="S98" s="756"/>
      <c r="T98" s="756"/>
      <c r="U98" s="756"/>
      <c r="V98" s="756"/>
      <c r="W98" s="757"/>
    </row>
    <row r="99" spans="1:23" x14ac:dyDescent="0.3">
      <c r="A99" s="155"/>
      <c r="M99" s="134"/>
      <c r="O99" s="755"/>
      <c r="P99" s="756"/>
      <c r="Q99" s="756"/>
      <c r="R99" s="756"/>
      <c r="S99" s="756"/>
      <c r="T99" s="756"/>
      <c r="U99" s="756"/>
      <c r="V99" s="756"/>
      <c r="W99" s="757"/>
    </row>
    <row r="100" spans="1:23" ht="19.5" thickBot="1" x14ac:dyDescent="0.35">
      <c r="A100" s="155"/>
      <c r="M100" s="134"/>
      <c r="O100" s="758"/>
      <c r="P100" s="759"/>
      <c r="Q100" s="759"/>
      <c r="R100" s="759"/>
      <c r="S100" s="759"/>
      <c r="T100" s="759"/>
      <c r="U100" s="759"/>
      <c r="V100" s="759"/>
      <c r="W100" s="760"/>
    </row>
    <row r="101" spans="1:23" ht="32.25" thickBot="1" x14ac:dyDescent="0.55000000000000004">
      <c r="A101" s="734" t="s">
        <v>400</v>
      </c>
      <c r="B101" s="735"/>
      <c r="C101" s="735"/>
      <c r="D101" s="735"/>
      <c r="E101" s="735"/>
      <c r="F101" s="735"/>
      <c r="G101" s="735"/>
      <c r="H101" s="735"/>
      <c r="I101" s="735"/>
      <c r="J101" s="735"/>
      <c r="K101" s="735"/>
      <c r="L101" s="735"/>
      <c r="M101" s="736"/>
    </row>
    <row r="102" spans="1:23" x14ac:dyDescent="0.3">
      <c r="A102" s="155"/>
      <c r="M102" s="134"/>
    </row>
    <row r="103" spans="1:23" x14ac:dyDescent="0.3">
      <c r="A103" s="156"/>
      <c r="B103" s="137"/>
      <c r="C103" s="137"/>
      <c r="D103" s="737" t="s">
        <v>327</v>
      </c>
      <c r="E103" s="737"/>
      <c r="F103" s="737" t="str">
        <f>Дог.!$A$18</f>
        <v>{{CLIENT_FULLNAME}}</v>
      </c>
      <c r="G103" s="737"/>
      <c r="H103" s="737"/>
      <c r="I103" s="737"/>
      <c r="J103" s="737"/>
      <c r="K103" s="137"/>
      <c r="L103" s="127" t="str">
        <f>L55</f>
        <v>ХХХХХ</v>
      </c>
      <c r="M103" s="157" t="s">
        <v>248</v>
      </c>
    </row>
    <row r="104" spans="1:23" ht="19.5" thickBot="1" x14ac:dyDescent="0.35">
      <c r="A104" s="155"/>
      <c r="M104" s="134"/>
    </row>
    <row r="105" spans="1:23" ht="19.5" thickBot="1" x14ac:dyDescent="0.35">
      <c r="A105" s="704" t="s">
        <v>337</v>
      </c>
      <c r="B105" s="705"/>
      <c r="C105" s="705"/>
      <c r="D105" s="705"/>
      <c r="E105" s="705"/>
      <c r="F105" s="705"/>
      <c r="G105" s="128">
        <f ca="1">G57</f>
        <v>21</v>
      </c>
      <c r="H105" s="129">
        <f ca="1">H57</f>
        <v>11</v>
      </c>
      <c r="I105" s="129">
        <f ca="1">I57</f>
        <v>2025</v>
      </c>
      <c r="J105" s="234">
        <f ca="1">J57</f>
        <v>45982.790570370373</v>
      </c>
      <c r="K105" s="131" t="s">
        <v>250</v>
      </c>
      <c r="L105" s="136">
        <f ca="1">L57</f>
        <v>45982</v>
      </c>
      <c r="M105" s="134"/>
    </row>
    <row r="106" spans="1:23" x14ac:dyDescent="0.3">
      <c r="A106" s="704" t="s">
        <v>358</v>
      </c>
      <c r="B106" s="705"/>
      <c r="C106" s="705"/>
      <c r="D106" s="705"/>
      <c r="E106" s="705"/>
      <c r="F106" s="705"/>
      <c r="G106" s="705"/>
      <c r="H106" s="705"/>
      <c r="I106" s="705"/>
      <c r="J106" s="705"/>
      <c r="K106" s="705"/>
      <c r="L106" s="705"/>
      <c r="M106" s="706"/>
    </row>
    <row r="107" spans="1:23" x14ac:dyDescent="0.3">
      <c r="A107" s="704" t="s">
        <v>476</v>
      </c>
      <c r="B107" s="705"/>
      <c r="C107" s="705"/>
      <c r="D107" s="705"/>
      <c r="E107" s="705"/>
      <c r="F107" s="705"/>
      <c r="G107" s="705"/>
      <c r="H107" s="705"/>
      <c r="I107" s="705"/>
      <c r="J107" s="705"/>
      <c r="K107" s="705"/>
      <c r="L107" s="705"/>
      <c r="M107" s="706"/>
    </row>
    <row r="108" spans="1:23" x14ac:dyDescent="0.3">
      <c r="A108" s="718" t="s">
        <v>376</v>
      </c>
      <c r="B108" s="719"/>
      <c r="C108" s="719"/>
      <c r="D108" s="719"/>
      <c r="E108" s="719"/>
      <c r="F108" s="719"/>
      <c r="G108" s="719"/>
      <c r="H108" s="719"/>
      <c r="I108" s="719"/>
      <c r="J108" s="150">
        <f ca="1">J60</f>
        <v>45982.790570370373</v>
      </c>
      <c r="K108" s="131"/>
      <c r="L108" s="136">
        <f ca="1">L60</f>
        <v>45983</v>
      </c>
      <c r="M108" s="158"/>
    </row>
    <row r="109" spans="1:23" x14ac:dyDescent="0.3">
      <c r="A109" s="718" t="s">
        <v>377</v>
      </c>
      <c r="B109" s="719"/>
      <c r="C109" s="719"/>
      <c r="D109" s="719"/>
      <c r="E109" s="719"/>
      <c r="F109" s="719"/>
      <c r="G109" s="719"/>
      <c r="H109" s="719"/>
      <c r="I109" s="719"/>
      <c r="J109" s="719"/>
      <c r="K109" s="719"/>
      <c r="L109" s="719"/>
      <c r="M109" s="720"/>
    </row>
    <row r="110" spans="1:23" x14ac:dyDescent="0.3">
      <c r="A110" s="718" t="s">
        <v>378</v>
      </c>
      <c r="B110" s="719"/>
      <c r="C110" s="719"/>
      <c r="D110" s="719"/>
      <c r="E110" s="719"/>
      <c r="F110" s="719"/>
      <c r="G110" s="719"/>
      <c r="H110" s="719"/>
      <c r="I110" s="719"/>
      <c r="J110" s="719"/>
      <c r="K110" s="719"/>
      <c r="L110" s="719"/>
      <c r="M110" s="720"/>
    </row>
    <row r="111" spans="1:23" x14ac:dyDescent="0.3">
      <c r="A111" s="718">
        <f>H94</f>
        <v>0</v>
      </c>
      <c r="B111" s="719"/>
      <c r="C111" s="731" t="s">
        <v>379</v>
      </c>
      <c r="D111" s="731"/>
      <c r="E111" s="731"/>
      <c r="F111" s="136">
        <f ca="1">F63</f>
        <v>45982</v>
      </c>
      <c r="G111" s="719" t="s">
        <v>402</v>
      </c>
      <c r="H111" s="719"/>
      <c r="I111" s="719"/>
      <c r="J111" s="719"/>
      <c r="K111" s="719"/>
      <c r="L111" s="719"/>
      <c r="M111" s="720"/>
    </row>
    <row r="112" spans="1:23" x14ac:dyDescent="0.3">
      <c r="A112" s="718" t="s">
        <v>401</v>
      </c>
      <c r="B112" s="719"/>
      <c r="C112" s="719"/>
      <c r="D112" s="719"/>
      <c r="E112" s="719"/>
      <c r="F112" s="719"/>
      <c r="G112" s="719"/>
      <c r="H112" s="719"/>
      <c r="I112" s="719"/>
      <c r="J112" s="719"/>
      <c r="K112" s="719"/>
      <c r="L112" s="719"/>
      <c r="M112" s="720"/>
    </row>
    <row r="113" spans="1:13" x14ac:dyDescent="0.3">
      <c r="A113" s="718" t="s">
        <v>405</v>
      </c>
      <c r="B113" s="719"/>
      <c r="C113" s="721">
        <f ca="1">'Акт расч'!P48</f>
        <v>-3000</v>
      </c>
      <c r="D113" s="721"/>
      <c r="E113" s="147"/>
      <c r="F113" s="147"/>
      <c r="G113" s="147"/>
      <c r="H113" s="147"/>
      <c r="I113" s="147"/>
      <c r="J113" s="147"/>
      <c r="K113" s="147"/>
      <c r="L113" s="147"/>
      <c r="M113" s="165"/>
    </row>
    <row r="114" spans="1:13" x14ac:dyDescent="0.3">
      <c r="A114" s="718" t="s">
        <v>403</v>
      </c>
      <c r="B114" s="719"/>
      <c r="C114" s="719"/>
      <c r="D114" s="719"/>
      <c r="E114" s="719"/>
      <c r="F114" s="719"/>
      <c r="G114" s="719"/>
      <c r="H114" s="719"/>
      <c r="I114" s="719"/>
      <c r="J114" s="719"/>
      <c r="K114" s="719"/>
      <c r="L114" s="719"/>
      <c r="M114" s="720"/>
    </row>
    <row r="115" spans="1:13" x14ac:dyDescent="0.3">
      <c r="A115" s="704" t="s">
        <v>404</v>
      </c>
      <c r="B115" s="705"/>
      <c r="C115" s="705"/>
      <c r="D115" s="705"/>
      <c r="E115" s="705"/>
      <c r="F115" s="705"/>
      <c r="G115" s="705"/>
      <c r="H115" s="705"/>
      <c r="I115" s="705"/>
      <c r="J115" s="705"/>
      <c r="K115" s="705"/>
      <c r="L115" s="705"/>
      <c r="M115" s="706"/>
    </row>
    <row r="116" spans="1:13" ht="28.5" x14ac:dyDescent="0.45">
      <c r="A116" s="728" t="s">
        <v>417</v>
      </c>
      <c r="B116" s="729"/>
      <c r="C116" s="729"/>
      <c r="D116" s="729"/>
      <c r="E116" s="729"/>
      <c r="F116" s="729"/>
      <c r="G116" s="729"/>
      <c r="H116" s="729"/>
      <c r="I116" s="729"/>
      <c r="J116" s="729"/>
      <c r="K116" s="729"/>
      <c r="L116" s="729"/>
      <c r="M116" s="730"/>
    </row>
    <row r="117" spans="1:13" x14ac:dyDescent="0.3">
      <c r="A117" s="704" t="s">
        <v>480</v>
      </c>
      <c r="B117" s="705"/>
      <c r="C117" s="705"/>
      <c r="D117" s="705"/>
      <c r="E117" s="705"/>
      <c r="F117" s="705"/>
      <c r="G117" s="705"/>
      <c r="H117" s="705"/>
      <c r="I117" s="705"/>
      <c r="J117" s="705"/>
      <c r="K117" s="705"/>
      <c r="L117" s="705"/>
      <c r="M117" s="706"/>
    </row>
    <row r="118" spans="1:13" x14ac:dyDescent="0.3">
      <c r="A118" s="704" t="s">
        <v>478</v>
      </c>
      <c r="B118" s="705"/>
      <c r="C118" s="705"/>
      <c r="D118" s="705"/>
      <c r="E118" s="705"/>
      <c r="F118" s="705"/>
      <c r="G118" s="705"/>
      <c r="H118" s="705"/>
      <c r="I118" s="705"/>
      <c r="J118" s="705"/>
      <c r="K118" s="705"/>
      <c r="L118" s="705"/>
      <c r="M118" s="706"/>
    </row>
    <row r="119" spans="1:13" x14ac:dyDescent="0.3">
      <c r="A119" s="704" t="s">
        <v>479</v>
      </c>
      <c r="B119" s="705"/>
      <c r="C119" s="705"/>
      <c r="D119" s="705"/>
      <c r="E119" s="705"/>
      <c r="F119" s="705"/>
      <c r="G119" s="705"/>
      <c r="H119" s="705"/>
      <c r="I119" s="705"/>
      <c r="J119" s="705"/>
      <c r="K119" s="705"/>
      <c r="L119" s="705"/>
      <c r="M119" s="706"/>
    </row>
    <row r="120" spans="1:13" x14ac:dyDescent="0.3">
      <c r="A120" s="704" t="s">
        <v>334</v>
      </c>
      <c r="B120" s="705"/>
      <c r="C120" s="705"/>
      <c r="D120" s="705"/>
      <c r="E120" s="705"/>
      <c r="F120" s="705"/>
      <c r="G120" s="705"/>
      <c r="H120" s="705"/>
      <c r="I120" s="705"/>
      <c r="J120" s="705"/>
      <c r="K120" s="705"/>
      <c r="L120" s="705"/>
      <c r="M120" s="706"/>
    </row>
    <row r="121" spans="1:13" x14ac:dyDescent="0.3">
      <c r="A121" s="704" t="s">
        <v>335</v>
      </c>
      <c r="B121" s="705"/>
      <c r="C121" s="705"/>
      <c r="D121" s="705"/>
      <c r="E121" s="705"/>
      <c r="F121" s="705"/>
      <c r="G121" s="705"/>
      <c r="H121" s="705"/>
      <c r="I121" s="705"/>
      <c r="J121" s="705"/>
      <c r="K121" s="705"/>
      <c r="L121" s="705"/>
      <c r="M121" s="706"/>
    </row>
    <row r="122" spans="1:13" x14ac:dyDescent="0.3">
      <c r="A122" s="715" t="s">
        <v>338</v>
      </c>
      <c r="B122" s="713"/>
      <c r="C122" s="713"/>
      <c r="D122" s="713"/>
      <c r="E122" s="713"/>
      <c r="F122" s="713"/>
      <c r="G122" s="713"/>
      <c r="H122" s="713"/>
      <c r="I122" s="713"/>
      <c r="J122" s="713"/>
      <c r="K122" s="713"/>
      <c r="L122" s="713"/>
      <c r="M122" s="714"/>
    </row>
    <row r="123" spans="1:13" x14ac:dyDescent="0.3">
      <c r="A123" s="715" t="s">
        <v>341</v>
      </c>
      <c r="B123" s="713"/>
      <c r="C123" s="713"/>
      <c r="D123" s="713"/>
      <c r="E123" s="713"/>
      <c r="F123" s="713"/>
      <c r="G123" s="713"/>
      <c r="H123" s="713"/>
      <c r="I123" s="713"/>
      <c r="J123" s="713"/>
      <c r="K123" s="713"/>
      <c r="L123" s="713"/>
      <c r="M123" s="714"/>
    </row>
    <row r="124" spans="1:13" x14ac:dyDescent="0.3">
      <c r="A124" s="715" t="s">
        <v>339</v>
      </c>
      <c r="B124" s="713"/>
      <c r="C124" s="713"/>
      <c r="D124" s="713"/>
      <c r="E124" s="713"/>
      <c r="F124" s="713"/>
      <c r="G124" s="713"/>
      <c r="H124" s="713"/>
      <c r="I124" s="713"/>
      <c r="J124" s="713"/>
      <c r="K124" s="713"/>
      <c r="L124" s="713"/>
      <c r="M124" s="714"/>
    </row>
    <row r="125" spans="1:13" x14ac:dyDescent="0.3">
      <c r="A125" s="715" t="s">
        <v>340</v>
      </c>
      <c r="B125" s="713"/>
      <c r="C125" s="713"/>
      <c r="D125" s="713"/>
      <c r="E125" s="713"/>
      <c r="F125" s="713"/>
      <c r="G125" s="713"/>
      <c r="H125" s="713"/>
      <c r="I125" s="713"/>
      <c r="J125" s="713"/>
      <c r="K125" s="713"/>
      <c r="L125" s="713"/>
      <c r="M125" s="714"/>
    </row>
    <row r="126" spans="1:13" x14ac:dyDescent="0.3">
      <c r="A126" s="722" t="s">
        <v>477</v>
      </c>
      <c r="B126" s="723"/>
      <c r="C126" s="723"/>
      <c r="D126" s="723"/>
      <c r="E126" s="723"/>
      <c r="F126" s="723"/>
      <c r="G126" s="723"/>
      <c r="H126" s="723"/>
      <c r="I126" s="723"/>
      <c r="J126" s="723"/>
      <c r="K126" s="723"/>
      <c r="L126" s="723"/>
      <c r="M126" s="724"/>
    </row>
    <row r="127" spans="1:13" x14ac:dyDescent="0.3">
      <c r="A127" s="722" t="s">
        <v>406</v>
      </c>
      <c r="B127" s="723"/>
      <c r="C127" s="723"/>
      <c r="D127" s="723"/>
      <c r="E127" s="723"/>
      <c r="F127" s="723"/>
      <c r="G127" s="723"/>
      <c r="H127" s="723"/>
      <c r="I127" s="723"/>
      <c r="J127" s="723"/>
      <c r="K127" s="723"/>
      <c r="L127" s="723"/>
      <c r="M127" s="724"/>
    </row>
    <row r="128" spans="1:13" x14ac:dyDescent="0.3">
      <c r="A128" s="722" t="s">
        <v>408</v>
      </c>
      <c r="B128" s="723"/>
      <c r="C128" s="723"/>
      <c r="D128" s="723"/>
      <c r="E128" s="723"/>
      <c r="F128" s="723"/>
      <c r="G128" s="723"/>
      <c r="H128" s="723"/>
      <c r="I128" s="723"/>
      <c r="J128" s="723"/>
      <c r="K128" s="723"/>
      <c r="L128" s="723"/>
      <c r="M128" s="724"/>
    </row>
    <row r="129" spans="1:13" x14ac:dyDescent="0.3">
      <c r="A129" s="722" t="s">
        <v>407</v>
      </c>
      <c r="B129" s="723"/>
      <c r="C129" s="723"/>
      <c r="D129" s="723"/>
      <c r="E129" s="723"/>
      <c r="F129" s="723"/>
      <c r="G129" s="723"/>
      <c r="H129" s="723"/>
      <c r="I129" s="723"/>
      <c r="J129" s="723"/>
      <c r="K129" s="723"/>
      <c r="L129" s="723"/>
      <c r="M129" s="724"/>
    </row>
    <row r="130" spans="1:13" x14ac:dyDescent="0.3">
      <c r="A130" s="704" t="s">
        <v>546</v>
      </c>
      <c r="B130" s="705"/>
      <c r="C130" s="705"/>
      <c r="D130" s="705"/>
      <c r="E130" s="705"/>
      <c r="F130" s="705"/>
      <c r="G130" s="705"/>
      <c r="H130" s="705"/>
      <c r="I130" s="705"/>
      <c r="J130" s="705"/>
      <c r="K130" s="705"/>
      <c r="L130" s="705"/>
      <c r="M130" s="706"/>
    </row>
    <row r="131" spans="1:13" x14ac:dyDescent="0.3">
      <c r="A131" s="704" t="s">
        <v>547</v>
      </c>
      <c r="B131" s="705"/>
      <c r="C131" s="705"/>
      <c r="D131" s="705"/>
      <c r="E131" s="705"/>
      <c r="F131" s="705"/>
      <c r="G131" s="705"/>
      <c r="H131" s="705"/>
      <c r="I131" s="705"/>
      <c r="J131" s="705"/>
      <c r="K131" s="705"/>
      <c r="L131" s="705"/>
      <c r="M131" s="706"/>
    </row>
    <row r="132" spans="1:13" x14ac:dyDescent="0.3">
      <c r="A132" s="715" t="s">
        <v>342</v>
      </c>
      <c r="B132" s="713"/>
      <c r="C132" s="713"/>
      <c r="D132" s="713"/>
      <c r="E132" s="713"/>
      <c r="F132" s="713"/>
      <c r="G132" s="713"/>
      <c r="H132" s="713"/>
      <c r="I132" s="713"/>
      <c r="J132" s="713"/>
      <c r="K132" s="713"/>
      <c r="L132" s="713"/>
      <c r="M132" s="714"/>
    </row>
    <row r="133" spans="1:13" x14ac:dyDescent="0.3">
      <c r="A133" s="715" t="s">
        <v>410</v>
      </c>
      <c r="B133" s="713"/>
      <c r="C133" s="713"/>
      <c r="D133" s="713"/>
      <c r="E133" s="713"/>
      <c r="F133" s="713"/>
      <c r="G133" s="713"/>
      <c r="H133" s="713"/>
      <c r="I133" s="713"/>
      <c r="J133" s="713"/>
      <c r="K133" s="713"/>
      <c r="L133" s="713"/>
      <c r="M133" s="714"/>
    </row>
    <row r="134" spans="1:13" x14ac:dyDescent="0.3">
      <c r="A134" s="715" t="s">
        <v>411</v>
      </c>
      <c r="B134" s="713"/>
      <c r="C134" s="713"/>
      <c r="D134" s="713"/>
      <c r="E134" s="713"/>
      <c r="F134" s="713"/>
      <c r="G134" s="713"/>
      <c r="H134" s="713"/>
      <c r="I134" s="713"/>
      <c r="J134" s="713"/>
      <c r="K134" s="713"/>
      <c r="L134" s="713"/>
      <c r="M134" s="714"/>
    </row>
    <row r="135" spans="1:13" x14ac:dyDescent="0.3">
      <c r="A135" s="704" t="s">
        <v>485</v>
      </c>
      <c r="B135" s="705"/>
      <c r="C135" s="705"/>
      <c r="D135" s="705"/>
      <c r="E135" s="705"/>
      <c r="F135" s="705"/>
      <c r="G135" s="705"/>
      <c r="H135" s="705"/>
      <c r="I135" s="705"/>
      <c r="J135" s="705"/>
      <c r="K135" s="705"/>
      <c r="L135" s="705"/>
      <c r="M135" s="706"/>
    </row>
    <row r="136" spans="1:13" x14ac:dyDescent="0.3">
      <c r="A136" s="704" t="s">
        <v>416</v>
      </c>
      <c r="B136" s="705"/>
      <c r="C136" s="705"/>
      <c r="D136" s="705"/>
      <c r="E136" s="705"/>
      <c r="F136" s="705"/>
      <c r="G136" s="705"/>
      <c r="H136" s="705"/>
      <c r="I136" s="705"/>
      <c r="J136" s="705"/>
      <c r="K136" s="705"/>
      <c r="L136" s="705"/>
      <c r="M136" s="706"/>
    </row>
    <row r="137" spans="1:13" x14ac:dyDescent="0.3">
      <c r="A137" s="704" t="s">
        <v>484</v>
      </c>
      <c r="B137" s="705"/>
      <c r="C137" s="705"/>
      <c r="D137" s="705"/>
      <c r="E137" s="705"/>
      <c r="F137" s="705"/>
      <c r="G137" s="705"/>
      <c r="H137" s="705"/>
      <c r="I137" s="705"/>
      <c r="J137" s="705"/>
      <c r="K137" s="705"/>
      <c r="L137" s="705"/>
      <c r="M137" s="706"/>
    </row>
    <row r="138" spans="1:13" x14ac:dyDescent="0.3">
      <c r="A138" s="722" t="s">
        <v>412</v>
      </c>
      <c r="B138" s="723"/>
      <c r="C138" s="723"/>
      <c r="D138" s="723"/>
      <c r="E138" s="723"/>
      <c r="F138" s="723"/>
      <c r="G138" s="723"/>
      <c r="H138" s="723"/>
      <c r="I138" s="723"/>
      <c r="J138" s="723"/>
      <c r="K138" s="723"/>
      <c r="L138" s="723"/>
      <c r="M138" s="724"/>
    </row>
    <row r="139" spans="1:13" x14ac:dyDescent="0.3">
      <c r="A139" s="722" t="s">
        <v>474</v>
      </c>
      <c r="B139" s="723"/>
      <c r="C139" s="723"/>
      <c r="D139" s="723"/>
      <c r="E139" s="723"/>
      <c r="F139" s="723"/>
      <c r="G139" s="723"/>
      <c r="H139" s="723"/>
      <c r="I139" s="723"/>
      <c r="J139" s="723"/>
      <c r="K139" s="723"/>
      <c r="L139" s="723"/>
      <c r="M139" s="724"/>
    </row>
    <row r="140" spans="1:13" x14ac:dyDescent="0.3">
      <c r="A140" s="715" t="s">
        <v>481</v>
      </c>
      <c r="B140" s="713"/>
      <c r="C140" s="713"/>
      <c r="D140" s="713"/>
      <c r="E140" s="713"/>
      <c r="F140" s="713"/>
      <c r="G140" s="713"/>
      <c r="H140" s="713"/>
      <c r="I140" s="713"/>
      <c r="J140" s="713"/>
      <c r="K140" s="713"/>
      <c r="L140" s="713"/>
      <c r="M140" s="714"/>
    </row>
    <row r="141" spans="1:13" x14ac:dyDescent="0.3">
      <c r="A141" s="715" t="s">
        <v>415</v>
      </c>
      <c r="B141" s="713"/>
      <c r="C141" s="713"/>
      <c r="D141" s="713"/>
      <c r="E141" s="713"/>
      <c r="F141" s="713"/>
      <c r="G141" s="713"/>
      <c r="H141" s="713"/>
      <c r="I141" s="713"/>
      <c r="J141" s="713"/>
      <c r="K141" s="713"/>
      <c r="L141" s="713"/>
      <c r="M141" s="714"/>
    </row>
    <row r="142" spans="1:13" x14ac:dyDescent="0.3">
      <c r="A142" s="712" t="s">
        <v>482</v>
      </c>
      <c r="B142" s="713"/>
      <c r="C142" s="713"/>
      <c r="D142" s="713"/>
      <c r="E142" s="713"/>
      <c r="F142" s="713"/>
      <c r="G142" s="713"/>
      <c r="H142" s="713"/>
      <c r="I142" s="713"/>
      <c r="J142" s="713"/>
      <c r="K142" s="713"/>
      <c r="L142" s="713"/>
      <c r="M142" s="714"/>
    </row>
    <row r="143" spans="1:13" x14ac:dyDescent="0.3">
      <c r="A143" s="715" t="s">
        <v>413</v>
      </c>
      <c r="B143" s="713"/>
      <c r="C143" s="713"/>
      <c r="D143" s="713"/>
      <c r="E143" s="713"/>
      <c r="F143" s="713"/>
      <c r="G143" s="713"/>
      <c r="H143" s="713"/>
      <c r="I143" s="713"/>
      <c r="J143" s="713"/>
      <c r="K143" s="713"/>
      <c r="L143" s="713"/>
      <c r="M143" s="714"/>
    </row>
    <row r="144" spans="1:13" x14ac:dyDescent="0.3">
      <c r="A144" s="712" t="s">
        <v>483</v>
      </c>
      <c r="B144" s="713"/>
      <c r="C144" s="713"/>
      <c r="D144" s="713"/>
      <c r="E144" s="713"/>
      <c r="F144" s="713"/>
      <c r="G144" s="713"/>
      <c r="H144" s="713"/>
      <c r="I144" s="713"/>
      <c r="J144" s="713"/>
      <c r="K144" s="713"/>
      <c r="L144" s="713"/>
      <c r="M144" s="714"/>
    </row>
    <row r="145" spans="1:13" x14ac:dyDescent="0.3">
      <c r="A145" s="715" t="s">
        <v>414</v>
      </c>
      <c r="B145" s="713"/>
      <c r="C145" s="713"/>
      <c r="D145" s="713"/>
      <c r="E145" s="713"/>
      <c r="F145" s="713"/>
      <c r="G145" s="713"/>
      <c r="H145" s="713"/>
      <c r="I145" s="713"/>
      <c r="J145" s="713"/>
      <c r="K145" s="713"/>
      <c r="L145" s="713"/>
      <c r="M145" s="714"/>
    </row>
    <row r="146" spans="1:13" x14ac:dyDescent="0.3">
      <c r="A146" s="704" t="s">
        <v>473</v>
      </c>
      <c r="B146" s="705"/>
      <c r="C146" s="705"/>
      <c r="D146" s="705"/>
      <c r="E146" s="705"/>
      <c r="F146" s="705"/>
      <c r="G146" s="705"/>
      <c r="H146" s="705"/>
      <c r="I146" s="705"/>
      <c r="J146" s="705"/>
      <c r="K146" s="705"/>
      <c r="L146" s="705"/>
      <c r="M146" s="706"/>
    </row>
    <row r="147" spans="1:13" x14ac:dyDescent="0.3">
      <c r="A147" s="704"/>
      <c r="B147" s="705"/>
      <c r="C147" s="705"/>
      <c r="D147" s="705"/>
      <c r="E147" s="705"/>
      <c r="F147" s="705"/>
      <c r="G147" s="705"/>
      <c r="H147" s="705"/>
      <c r="I147" s="705"/>
      <c r="J147" s="705"/>
      <c r="K147" s="705"/>
      <c r="L147" s="705"/>
      <c r="M147" s="706"/>
    </row>
    <row r="148" spans="1:13" ht="21" x14ac:dyDescent="0.35">
      <c r="A148" s="707" t="s">
        <v>418</v>
      </c>
      <c r="B148" s="337"/>
      <c r="C148" s="337"/>
      <c r="D148" s="337"/>
      <c r="E148" s="337"/>
      <c r="F148" s="337"/>
      <c r="G148" s="337"/>
      <c r="H148" s="337"/>
      <c r="I148" s="337"/>
      <c r="J148" s="337"/>
      <c r="K148" s="337"/>
      <c r="L148" s="337"/>
      <c r="M148" s="708"/>
    </row>
    <row r="149" spans="1:13" ht="21" x14ac:dyDescent="0.35">
      <c r="A149" s="707" t="s">
        <v>336</v>
      </c>
      <c r="B149" s="337"/>
      <c r="C149" s="337"/>
      <c r="D149" s="337"/>
      <c r="E149" s="337"/>
      <c r="F149" s="337"/>
      <c r="G149" s="709" t="str">
        <f>Дог.!M7</f>
        <v>=D7</v>
      </c>
      <c r="H149" s="709"/>
      <c r="I149" s="710" t="s">
        <v>548</v>
      </c>
      <c r="J149" s="710"/>
      <c r="K149" s="710"/>
      <c r="L149" s="710"/>
      <c r="M149" s="711"/>
    </row>
    <row r="150" spans="1:13" ht="21" x14ac:dyDescent="0.35">
      <c r="A150" s="707" t="s">
        <v>795</v>
      </c>
      <c r="B150" s="337"/>
      <c r="C150" s="337"/>
      <c r="D150" s="337"/>
      <c r="E150" s="337"/>
      <c r="F150" s="337"/>
      <c r="G150" s="337"/>
      <c r="H150" s="337"/>
      <c r="I150" s="337"/>
      <c r="J150" s="337"/>
      <c r="K150" s="337"/>
      <c r="L150" s="337"/>
      <c r="M150" s="708"/>
    </row>
    <row r="151" spans="1:13" x14ac:dyDescent="0.3">
      <c r="A151" s="167"/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  <c r="L151" s="131"/>
      <c r="M151" s="168"/>
    </row>
    <row r="152" spans="1:13" x14ac:dyDescent="0.3">
      <c r="A152" s="155"/>
      <c r="C152" s="136"/>
      <c r="D152" s="131"/>
      <c r="M152" s="134"/>
    </row>
    <row r="153" spans="1:13" x14ac:dyDescent="0.3">
      <c r="A153" s="155"/>
      <c r="M153" s="134"/>
    </row>
    <row r="154" spans="1:13" x14ac:dyDescent="0.3">
      <c r="A154" s="155"/>
      <c r="B154" s="130" t="s">
        <v>78</v>
      </c>
      <c r="C154" s="725">
        <f ca="1">F111</f>
        <v>45982</v>
      </c>
      <c r="D154" s="725"/>
      <c r="G154" s="288" t="str">
        <f>G88</f>
        <v>Зинченко М. А.</v>
      </c>
      <c r="H154" s="288"/>
      <c r="I154" s="288"/>
      <c r="J154" s="726"/>
      <c r="K154" s="726"/>
      <c r="L154" s="726"/>
      <c r="M154" s="727"/>
    </row>
    <row r="155" spans="1:13" x14ac:dyDescent="0.3">
      <c r="A155" s="155"/>
      <c r="J155" s="716" t="s">
        <v>330</v>
      </c>
      <c r="K155" s="716"/>
      <c r="L155" s="716"/>
      <c r="M155" s="717"/>
    </row>
    <row r="156" spans="1:13" x14ac:dyDescent="0.3">
      <c r="A156" s="155"/>
      <c r="M156" s="134"/>
    </row>
    <row r="157" spans="1:13" x14ac:dyDescent="0.3">
      <c r="A157" s="155"/>
      <c r="M157" s="134"/>
    </row>
    <row r="158" spans="1:13" ht="19.5" thickBot="1" x14ac:dyDescent="0.35">
      <c r="A158" s="162"/>
      <c r="B158" s="163"/>
      <c r="C158" s="163"/>
      <c r="D158" s="163"/>
      <c r="E158" s="163"/>
      <c r="F158" s="163"/>
      <c r="G158" s="163"/>
      <c r="H158" s="163"/>
      <c r="I158" s="163"/>
      <c r="J158" s="163"/>
      <c r="K158" s="163"/>
      <c r="L158" s="163"/>
      <c r="M158" s="164"/>
    </row>
  </sheetData>
  <mergeCells count="149">
    <mergeCell ref="L2:M2"/>
    <mergeCell ref="J2:K2"/>
    <mergeCell ref="J46:K46"/>
    <mergeCell ref="L46:M46"/>
    <mergeCell ref="J94:K94"/>
    <mergeCell ref="L94:M94"/>
    <mergeCell ref="O5:W8"/>
    <mergeCell ref="O49:W52"/>
    <mergeCell ref="O97:W100"/>
    <mergeCell ref="J3:M3"/>
    <mergeCell ref="J4:M4"/>
    <mergeCell ref="J5:M5"/>
    <mergeCell ref="J47:M47"/>
    <mergeCell ref="J49:M49"/>
    <mergeCell ref="A53:M53"/>
    <mergeCell ref="D21:H21"/>
    <mergeCell ref="A9:M9"/>
    <mergeCell ref="D11:E11"/>
    <mergeCell ref="F11:J11"/>
    <mergeCell ref="A13:F13"/>
    <mergeCell ref="J41:M41"/>
    <mergeCell ref="A14:M14"/>
    <mergeCell ref="A15:M15"/>
    <mergeCell ref="A16:I16"/>
    <mergeCell ref="A17:M17"/>
    <mergeCell ref="A18:M18"/>
    <mergeCell ref="A19:B19"/>
    <mergeCell ref="C19:E19"/>
    <mergeCell ref="A138:M138"/>
    <mergeCell ref="A139:M139"/>
    <mergeCell ref="A140:M140"/>
    <mergeCell ref="A141:M141"/>
    <mergeCell ref="I21:L21"/>
    <mergeCell ref="A22:B22"/>
    <mergeCell ref="C22:D22"/>
    <mergeCell ref="C40:D40"/>
    <mergeCell ref="G40:I40"/>
    <mergeCell ref="J40:M40"/>
    <mergeCell ref="A38:M38"/>
    <mergeCell ref="E22:M22"/>
    <mergeCell ref="A26:M26"/>
    <mergeCell ref="A27:M27"/>
    <mergeCell ref="A28:M28"/>
    <mergeCell ref="A29:M29"/>
    <mergeCell ref="A30:M30"/>
    <mergeCell ref="A31:M31"/>
    <mergeCell ref="A32:M32"/>
    <mergeCell ref="A35:M35"/>
    <mergeCell ref="A36:M36"/>
    <mergeCell ref="J95:M95"/>
    <mergeCell ref="J96:M96"/>
    <mergeCell ref="A59:M59"/>
    <mergeCell ref="G19:M19"/>
    <mergeCell ref="A20:C20"/>
    <mergeCell ref="D20:E20"/>
    <mergeCell ref="A24:M24"/>
    <mergeCell ref="A25:M25"/>
    <mergeCell ref="J48:M48"/>
    <mergeCell ref="D55:E55"/>
    <mergeCell ref="F55:J55"/>
    <mergeCell ref="A57:F57"/>
    <mergeCell ref="A58:M58"/>
    <mergeCell ref="A60:I60"/>
    <mergeCell ref="A61:M61"/>
    <mergeCell ref="A62:M62"/>
    <mergeCell ref="A63:B63"/>
    <mergeCell ref="C63:E63"/>
    <mergeCell ref="G63:M63"/>
    <mergeCell ref="A73:M73"/>
    <mergeCell ref="A64:M64"/>
    <mergeCell ref="A65:M65"/>
    <mergeCell ref="A66:B66"/>
    <mergeCell ref="C66:D66"/>
    <mergeCell ref="E66:F66"/>
    <mergeCell ref="C88:D88"/>
    <mergeCell ref="G88:I88"/>
    <mergeCell ref="J88:M88"/>
    <mergeCell ref="A70:M70"/>
    <mergeCell ref="A68:B68"/>
    <mergeCell ref="C68:D68"/>
    <mergeCell ref="E68:M68"/>
    <mergeCell ref="J89:M89"/>
    <mergeCell ref="A71:M71"/>
    <mergeCell ref="A72:M72"/>
    <mergeCell ref="A74:M74"/>
    <mergeCell ref="A75:M75"/>
    <mergeCell ref="A76:G76"/>
    <mergeCell ref="A77:M77"/>
    <mergeCell ref="A78:M78"/>
    <mergeCell ref="A79:M79"/>
    <mergeCell ref="A80:M80"/>
    <mergeCell ref="A81:M81"/>
    <mergeCell ref="A82:M82"/>
    <mergeCell ref="A84:M84"/>
    <mergeCell ref="J97:M97"/>
    <mergeCell ref="A101:M101"/>
    <mergeCell ref="D103:E103"/>
    <mergeCell ref="F103:J103"/>
    <mergeCell ref="A105:F105"/>
    <mergeCell ref="A106:M106"/>
    <mergeCell ref="A107:M107"/>
    <mergeCell ref="A108:I108"/>
    <mergeCell ref="A109:M109"/>
    <mergeCell ref="A132:M132"/>
    <mergeCell ref="A133:M133"/>
    <mergeCell ref="A134:M134"/>
    <mergeCell ref="A135:M135"/>
    <mergeCell ref="A136:M136"/>
    <mergeCell ref="A137:M137"/>
    <mergeCell ref="A116:M116"/>
    <mergeCell ref="A110:M110"/>
    <mergeCell ref="A111:B111"/>
    <mergeCell ref="C111:E111"/>
    <mergeCell ref="G111:M111"/>
    <mergeCell ref="J155:M155"/>
    <mergeCell ref="A112:M112"/>
    <mergeCell ref="C113:D113"/>
    <mergeCell ref="A113:B113"/>
    <mergeCell ref="A114:M114"/>
    <mergeCell ref="A115:M115"/>
    <mergeCell ref="A117:M117"/>
    <mergeCell ref="A118:M118"/>
    <mergeCell ref="A119:M119"/>
    <mergeCell ref="A120:M120"/>
    <mergeCell ref="A121:M121"/>
    <mergeCell ref="A122:M122"/>
    <mergeCell ref="A123:M123"/>
    <mergeCell ref="A124:M124"/>
    <mergeCell ref="A125:M125"/>
    <mergeCell ref="A126:M126"/>
    <mergeCell ref="A127:M127"/>
    <mergeCell ref="A128:M128"/>
    <mergeCell ref="C154:D154"/>
    <mergeCell ref="G154:I154"/>
    <mergeCell ref="J154:M154"/>
    <mergeCell ref="A129:M129"/>
    <mergeCell ref="A130:M130"/>
    <mergeCell ref="A131:M131"/>
    <mergeCell ref="A147:M147"/>
    <mergeCell ref="A148:M148"/>
    <mergeCell ref="A149:F149"/>
    <mergeCell ref="G149:H149"/>
    <mergeCell ref="I149:M149"/>
    <mergeCell ref="A150:M150"/>
    <mergeCell ref="A142:M142"/>
    <mergeCell ref="A143:M143"/>
    <mergeCell ref="A144:M144"/>
    <mergeCell ref="A145:M145"/>
    <mergeCell ref="A146:M146"/>
  </mergeCells>
  <pageMargins left="0.7" right="0.7" top="0.75" bottom="0.75" header="0.3" footer="0.3"/>
  <pageSetup paperSize="9" scale="58" fitToHeight="0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W162"/>
  <sheetViews>
    <sheetView topLeftCell="A20" zoomScale="80" zoomScaleNormal="80" workbookViewId="0">
      <selection activeCell="M1" sqref="A1:M49"/>
    </sheetView>
  </sheetViews>
  <sheetFormatPr defaultRowHeight="18.75" x14ac:dyDescent="0.3"/>
  <cols>
    <col min="1" max="1" width="10.140625" style="125" customWidth="1"/>
    <col min="2" max="2" width="13.5703125" style="125" customWidth="1"/>
    <col min="3" max="3" width="10.140625" style="125" customWidth="1"/>
    <col min="4" max="4" width="9.140625" style="125"/>
    <col min="5" max="5" width="11.28515625" style="125" customWidth="1"/>
    <col min="6" max="6" width="14.7109375" style="125" customWidth="1"/>
    <col min="7" max="7" width="11.5703125" style="125" customWidth="1"/>
    <col min="8" max="8" width="17.140625" style="125" bestFit="1" customWidth="1"/>
    <col min="9" max="9" width="11.5703125" style="125" customWidth="1"/>
    <col min="10" max="10" width="14.140625" style="125" customWidth="1"/>
    <col min="11" max="11" width="3.140625" style="125" customWidth="1"/>
    <col min="12" max="12" width="17.85546875" style="125" customWidth="1"/>
    <col min="13" max="13" width="7.42578125" style="125" customWidth="1"/>
    <col min="14" max="16384" width="9.140625" style="125"/>
  </cols>
  <sheetData>
    <row r="1" spans="1:23" x14ac:dyDescent="0.3">
      <c r="A1" s="152"/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4">
        <v>1</v>
      </c>
    </row>
    <row r="2" spans="1:23" x14ac:dyDescent="0.3">
      <c r="A2" s="155"/>
      <c r="H2" s="732" t="s">
        <v>785</v>
      </c>
      <c r="I2" s="732"/>
      <c r="J2" s="732"/>
      <c r="K2" s="732"/>
      <c r="L2" s="732"/>
      <c r="M2" s="733"/>
    </row>
    <row r="3" spans="1:23" x14ac:dyDescent="0.3">
      <c r="A3" s="155"/>
      <c r="J3" s="732" t="s">
        <v>331</v>
      </c>
      <c r="K3" s="732"/>
      <c r="L3" s="732"/>
      <c r="M3" s="733"/>
    </row>
    <row r="4" spans="1:23" ht="19.5" thickBot="1" x14ac:dyDescent="0.35">
      <c r="A4" s="155"/>
      <c r="J4" s="746" t="str">
        <f>Дог.!M7</f>
        <v>=D7</v>
      </c>
      <c r="K4" s="746"/>
      <c r="L4" s="746"/>
      <c r="M4" s="747"/>
      <c r="O4" s="126"/>
    </row>
    <row r="5" spans="1:23" x14ac:dyDescent="0.3">
      <c r="A5" s="155"/>
      <c r="J5" s="732" t="s">
        <v>332</v>
      </c>
      <c r="K5" s="732"/>
      <c r="L5" s="732"/>
      <c r="M5" s="733"/>
      <c r="O5" s="752" t="s">
        <v>515</v>
      </c>
      <c r="P5" s="753"/>
      <c r="Q5" s="753"/>
      <c r="R5" s="753"/>
      <c r="S5" s="753"/>
      <c r="T5" s="753"/>
      <c r="U5" s="753"/>
      <c r="V5" s="753"/>
      <c r="W5" s="754"/>
    </row>
    <row r="6" spans="1:23" x14ac:dyDescent="0.3">
      <c r="A6" s="155"/>
      <c r="M6" s="134"/>
      <c r="O6" s="755"/>
      <c r="P6" s="756"/>
      <c r="Q6" s="756"/>
      <c r="R6" s="756"/>
      <c r="S6" s="756"/>
      <c r="T6" s="756"/>
      <c r="U6" s="756"/>
      <c r="V6" s="756"/>
      <c r="W6" s="757"/>
    </row>
    <row r="7" spans="1:23" x14ac:dyDescent="0.3">
      <c r="A7" s="155"/>
      <c r="M7" s="134"/>
      <c r="O7" s="755"/>
      <c r="P7" s="756"/>
      <c r="Q7" s="756"/>
      <c r="R7" s="756"/>
      <c r="S7" s="756"/>
      <c r="T7" s="756"/>
      <c r="U7" s="756"/>
      <c r="V7" s="756"/>
      <c r="W7" s="757"/>
    </row>
    <row r="8" spans="1:23" ht="19.5" thickBot="1" x14ac:dyDescent="0.35">
      <c r="A8" s="155"/>
      <c r="M8" s="134"/>
      <c r="O8" s="758"/>
      <c r="P8" s="759"/>
      <c r="Q8" s="759"/>
      <c r="R8" s="759"/>
      <c r="S8" s="759"/>
      <c r="T8" s="759"/>
      <c r="U8" s="759"/>
      <c r="V8" s="759"/>
      <c r="W8" s="760"/>
    </row>
    <row r="9" spans="1:23" ht="32.25" thickBot="1" x14ac:dyDescent="0.55000000000000004">
      <c r="A9" s="734" t="s">
        <v>333</v>
      </c>
      <c r="B9" s="735"/>
      <c r="C9" s="735"/>
      <c r="D9" s="735"/>
      <c r="E9" s="735"/>
      <c r="F9" s="735"/>
      <c r="G9" s="735"/>
      <c r="H9" s="735"/>
      <c r="I9" s="735"/>
      <c r="J9" s="735"/>
      <c r="K9" s="735"/>
      <c r="L9" s="735"/>
      <c r="M9" s="736"/>
    </row>
    <row r="10" spans="1:23" x14ac:dyDescent="0.3">
      <c r="A10" s="155"/>
      <c r="M10" s="134"/>
    </row>
    <row r="11" spans="1:23" x14ac:dyDescent="0.3">
      <c r="A11" s="156"/>
      <c r="B11" s="137"/>
      <c r="C11" s="137"/>
      <c r="D11" s="737" t="s">
        <v>327</v>
      </c>
      <c r="E11" s="737"/>
      <c r="F11" s="761" t="str">
        <f>Дог.!$A$18</f>
        <v>{{CLIENT_FULLNAME}}</v>
      </c>
      <c r="G11" s="761"/>
      <c r="H11" s="761"/>
      <c r="I11" s="761"/>
      <c r="J11" s="761"/>
      <c r="K11" s="137"/>
      <c r="L11" s="127" t="str">
        <f>Дог.!A23</f>
        <v>ХХХХХ</v>
      </c>
      <c r="M11" s="157" t="s">
        <v>248</v>
      </c>
    </row>
    <row r="12" spans="1:23" ht="19.5" thickBot="1" x14ac:dyDescent="0.35">
      <c r="A12" s="155"/>
      <c r="M12" s="134"/>
    </row>
    <row r="13" spans="1:23" ht="19.5" thickBot="1" x14ac:dyDescent="0.35">
      <c r="A13" s="704" t="s">
        <v>337</v>
      </c>
      <c r="B13" s="705"/>
      <c r="C13" s="705"/>
      <c r="D13" s="705"/>
      <c r="E13" s="705"/>
      <c r="F13" s="705"/>
      <c r="G13" s="128">
        <f ca="1">Дог.!J10</f>
        <v>21</v>
      </c>
      <c r="H13" s="129">
        <f ca="1">Дог.!K10</f>
        <v>11</v>
      </c>
      <c r="I13" s="129">
        <f ca="1">Дог.!L10</f>
        <v>2025</v>
      </c>
      <c r="J13" s="234">
        <f ca="1">Дог.!M10</f>
        <v>45982.790570370373</v>
      </c>
      <c r="K13" s="131" t="s">
        <v>250</v>
      </c>
      <c r="L13" s="136">
        <f ca="1">'Пр №1'!J21</f>
        <v>45982</v>
      </c>
      <c r="M13" s="134"/>
    </row>
    <row r="14" spans="1:23" x14ac:dyDescent="0.3">
      <c r="A14" s="704" t="s">
        <v>495</v>
      </c>
      <c r="B14" s="705"/>
      <c r="C14" s="705"/>
      <c r="D14" s="705"/>
      <c r="E14" s="705"/>
      <c r="F14" s="705"/>
      <c r="G14" s="705"/>
      <c r="H14" s="705"/>
      <c r="I14" s="705"/>
      <c r="J14" s="705"/>
      <c r="K14" s="705"/>
      <c r="L14" s="705"/>
      <c r="M14" s="706"/>
    </row>
    <row r="15" spans="1:23" x14ac:dyDescent="0.3">
      <c r="A15" s="704" t="s">
        <v>500</v>
      </c>
      <c r="B15" s="705"/>
      <c r="C15" s="705"/>
      <c r="D15" s="705"/>
      <c r="E15" s="705"/>
      <c r="F15" s="705"/>
      <c r="G15" s="705"/>
      <c r="H15" s="705"/>
      <c r="I15" s="705"/>
      <c r="J15" s="705"/>
      <c r="K15" s="705"/>
      <c r="L15" s="705"/>
      <c r="M15" s="706"/>
    </row>
    <row r="16" spans="1:23" ht="19.5" thickBot="1" x14ac:dyDescent="0.35">
      <c r="A16" s="718" t="s">
        <v>501</v>
      </c>
      <c r="B16" s="719"/>
      <c r="C16" s="719"/>
      <c r="D16" s="719"/>
      <c r="E16" s="719"/>
      <c r="F16" s="719"/>
      <c r="G16" s="719"/>
      <c r="H16" s="719"/>
      <c r="I16" s="719"/>
      <c r="J16" s="719"/>
      <c r="K16" s="719"/>
      <c r="L16" s="719"/>
      <c r="M16" s="165"/>
    </row>
    <row r="17" spans="1:16" ht="19.5" thickBot="1" x14ac:dyDescent="0.35">
      <c r="A17" s="765">
        <f ca="1">Обяз!K22</f>
        <v>45985</v>
      </c>
      <c r="B17" s="766"/>
      <c r="C17" s="148"/>
      <c r="D17" s="148"/>
      <c r="E17" s="148"/>
      <c r="F17" s="148"/>
      <c r="G17" s="148"/>
      <c r="H17" s="148"/>
      <c r="I17" s="148"/>
      <c r="J17" s="148"/>
      <c r="K17" s="148"/>
      <c r="L17" s="148"/>
      <c r="M17" s="159"/>
    </row>
    <row r="18" spans="1:16" x14ac:dyDescent="0.3">
      <c r="A18" s="718" t="s">
        <v>502</v>
      </c>
      <c r="B18" s="719"/>
      <c r="C18" s="719"/>
      <c r="D18" s="719"/>
      <c r="E18" s="719"/>
      <c r="F18" s="719"/>
      <c r="G18" s="719"/>
      <c r="H18" s="719"/>
      <c r="I18" s="719"/>
      <c r="J18" s="719"/>
      <c r="K18" s="719"/>
      <c r="L18" s="719"/>
      <c r="M18" s="720"/>
    </row>
    <row r="19" spans="1:16" x14ac:dyDescent="0.3">
      <c r="A19" s="718"/>
      <c r="B19" s="719"/>
      <c r="C19" s="719"/>
      <c r="D19" s="719"/>
      <c r="E19" s="719"/>
      <c r="F19" s="719"/>
      <c r="G19" s="719"/>
      <c r="H19" s="719"/>
      <c r="I19" s="719"/>
      <c r="J19" s="719"/>
      <c r="K19" s="719"/>
      <c r="L19" s="719"/>
      <c r="M19" s="720"/>
    </row>
    <row r="20" spans="1:16" x14ac:dyDescent="0.3">
      <c r="A20" s="718" t="str">
        <f>H2</f>
        <v>И.П. Зинченко М. А.</v>
      </c>
      <c r="B20" s="719"/>
      <c r="C20" s="731" t="s">
        <v>379</v>
      </c>
      <c r="D20" s="731"/>
      <c r="E20" s="731"/>
      <c r="F20" s="136">
        <f ca="1">'Пр №1'!J21</f>
        <v>45982</v>
      </c>
      <c r="G20" s="719" t="s">
        <v>380</v>
      </c>
      <c r="H20" s="719"/>
      <c r="I20" s="719"/>
      <c r="J20" s="719"/>
      <c r="K20" s="719"/>
      <c r="L20" s="719"/>
      <c r="M20" s="720"/>
    </row>
    <row r="21" spans="1:16" x14ac:dyDescent="0.3">
      <c r="A21" s="718" t="s">
        <v>381</v>
      </c>
      <c r="B21" s="719"/>
      <c r="C21" s="719"/>
      <c r="D21" s="721">
        <f ca="1">'Акт расч'!P48</f>
        <v>-3000</v>
      </c>
      <c r="E21" s="721"/>
      <c r="F21" s="148"/>
      <c r="G21" s="148"/>
      <c r="H21" s="148"/>
      <c r="I21" s="148"/>
      <c r="J21" s="148"/>
      <c r="K21" s="148"/>
      <c r="L21" s="148"/>
      <c r="M21" s="159"/>
    </row>
    <row r="22" spans="1:16" ht="19.5" thickBot="1" x14ac:dyDescent="0.35">
      <c r="A22" s="160"/>
      <c r="B22" s="146"/>
      <c r="C22" s="45"/>
      <c r="D22" s="750"/>
      <c r="E22" s="750"/>
      <c r="F22" s="750"/>
      <c r="G22" s="750"/>
      <c r="H22" s="750"/>
      <c r="I22" s="721"/>
      <c r="J22" s="721"/>
      <c r="K22" s="721"/>
      <c r="L22" s="721"/>
      <c r="M22" s="161"/>
    </row>
    <row r="23" spans="1:16" ht="19.5" thickBot="1" x14ac:dyDescent="0.35">
      <c r="A23" s="741" t="s">
        <v>328</v>
      </c>
      <c r="B23" s="288"/>
      <c r="C23" s="748">
        <f ca="1">F20+1</f>
        <v>45983</v>
      </c>
      <c r="D23" s="749"/>
      <c r="E23" s="723" t="s">
        <v>496</v>
      </c>
      <c r="F23" s="723"/>
      <c r="G23" s="723"/>
      <c r="H23" s="723"/>
      <c r="I23" s="723"/>
      <c r="J23" s="723"/>
      <c r="K23" s="723"/>
      <c r="L23" s="723"/>
      <c r="M23" s="724"/>
    </row>
    <row r="24" spans="1:16" x14ac:dyDescent="0.3">
      <c r="A24" s="155"/>
      <c r="C24" s="136"/>
      <c r="D24" s="131"/>
      <c r="M24" s="134"/>
    </row>
    <row r="25" spans="1:16" x14ac:dyDescent="0.3">
      <c r="A25" s="722" t="s">
        <v>475</v>
      </c>
      <c r="B25" s="723"/>
      <c r="C25" s="723"/>
      <c r="D25" s="723"/>
      <c r="E25" s="723"/>
      <c r="F25" s="723"/>
      <c r="G25" s="723"/>
      <c r="H25" s="723"/>
      <c r="I25" s="723"/>
      <c r="J25" s="723"/>
      <c r="K25" s="723"/>
      <c r="L25" s="723"/>
      <c r="M25" s="724"/>
    </row>
    <row r="26" spans="1:16" x14ac:dyDescent="0.3">
      <c r="A26" s="762" t="s">
        <v>498</v>
      </c>
      <c r="B26" s="763"/>
      <c r="C26" s="763"/>
      <c r="D26" s="763"/>
      <c r="E26" s="763"/>
      <c r="F26" s="763"/>
      <c r="G26" s="763"/>
      <c r="H26" s="763"/>
      <c r="I26" s="763"/>
      <c r="J26" s="763"/>
      <c r="K26" s="763"/>
      <c r="L26" s="763"/>
      <c r="M26" s="764"/>
      <c r="N26" s="185"/>
      <c r="O26" s="185"/>
      <c r="P26" s="185"/>
    </row>
    <row r="27" spans="1:16" x14ac:dyDescent="0.3">
      <c r="A27" s="718" t="s">
        <v>447</v>
      </c>
      <c r="B27" s="719"/>
      <c r="C27" s="719"/>
      <c r="D27" s="719"/>
      <c r="E27" s="719"/>
      <c r="F27" s="719"/>
      <c r="G27" s="719"/>
      <c r="H27" s="719"/>
      <c r="I27" s="719"/>
      <c r="J27" s="719"/>
      <c r="K27" s="719"/>
      <c r="L27" s="719"/>
      <c r="M27" s="720"/>
      <c r="N27" s="186"/>
      <c r="O27" s="186"/>
      <c r="P27" s="186"/>
    </row>
    <row r="28" spans="1:16" x14ac:dyDescent="0.3">
      <c r="A28" s="718" t="s">
        <v>448</v>
      </c>
      <c r="B28" s="719"/>
      <c r="C28" s="719"/>
      <c r="D28" s="719"/>
      <c r="E28" s="719"/>
      <c r="F28" s="719"/>
      <c r="G28" s="719"/>
      <c r="H28" s="719"/>
      <c r="I28" s="719"/>
      <c r="J28" s="719"/>
      <c r="K28" s="719"/>
      <c r="L28" s="719"/>
      <c r="M28" s="720"/>
      <c r="N28" s="186"/>
      <c r="O28" s="186"/>
      <c r="P28" s="186"/>
    </row>
    <row r="29" spans="1:16" x14ac:dyDescent="0.3">
      <c r="A29" s="718" t="s">
        <v>348</v>
      </c>
      <c r="B29" s="719"/>
      <c r="C29" s="719"/>
      <c r="D29" s="719"/>
      <c r="E29" s="719"/>
      <c r="F29" s="719"/>
      <c r="G29" s="719"/>
      <c r="H29" s="719"/>
      <c r="I29" s="719"/>
      <c r="J29" s="719"/>
      <c r="K29" s="719"/>
      <c r="L29" s="719"/>
      <c r="M29" s="720"/>
      <c r="N29" s="186"/>
      <c r="O29" s="186"/>
      <c r="P29" s="186"/>
    </row>
    <row r="30" spans="1:16" x14ac:dyDescent="0.3">
      <c r="A30" s="718" t="s">
        <v>347</v>
      </c>
      <c r="B30" s="719"/>
      <c r="C30" s="719"/>
      <c r="D30" s="719"/>
      <c r="E30" s="719"/>
      <c r="F30" s="719"/>
      <c r="G30" s="719"/>
      <c r="H30" s="719"/>
      <c r="I30" s="719"/>
      <c r="J30" s="719"/>
      <c r="K30" s="719"/>
      <c r="L30" s="719"/>
      <c r="M30" s="720"/>
      <c r="N30" s="186"/>
      <c r="O30" s="186"/>
      <c r="P30" s="186"/>
    </row>
    <row r="31" spans="1:16" x14ac:dyDescent="0.3">
      <c r="A31" s="718" t="s">
        <v>350</v>
      </c>
      <c r="B31" s="719"/>
      <c r="C31" s="719"/>
      <c r="D31" s="719"/>
      <c r="E31" s="719"/>
      <c r="F31" s="719"/>
      <c r="G31" s="719"/>
      <c r="H31" s="719"/>
      <c r="I31" s="719"/>
      <c r="J31" s="719"/>
      <c r="K31" s="719"/>
      <c r="L31" s="719"/>
      <c r="M31" s="720"/>
      <c r="N31" s="186"/>
      <c r="O31" s="186"/>
      <c r="P31" s="186"/>
    </row>
    <row r="32" spans="1:16" x14ac:dyDescent="0.3">
      <c r="A32" s="718" t="s">
        <v>506</v>
      </c>
      <c r="B32" s="719"/>
      <c r="C32" s="719"/>
      <c r="D32" s="719"/>
      <c r="E32" s="719"/>
      <c r="F32" s="719"/>
      <c r="G32" s="719"/>
      <c r="H32" s="719"/>
      <c r="I32" s="719"/>
      <c r="J32" s="719"/>
      <c r="K32" s="719"/>
      <c r="L32" s="719"/>
      <c r="M32" s="720"/>
      <c r="N32" s="186"/>
      <c r="O32" s="186"/>
      <c r="P32" s="186"/>
    </row>
    <row r="33" spans="1:16" x14ac:dyDescent="0.3">
      <c r="A33" s="718" t="s">
        <v>507</v>
      </c>
      <c r="B33" s="719"/>
      <c r="C33" s="719"/>
      <c r="D33" s="719"/>
      <c r="E33" s="719"/>
      <c r="F33" s="719"/>
      <c r="G33" s="719"/>
      <c r="H33" s="719"/>
      <c r="I33" s="719"/>
      <c r="J33" s="719"/>
      <c r="K33" s="719"/>
      <c r="L33" s="719"/>
      <c r="M33" s="720"/>
      <c r="N33" s="186"/>
      <c r="O33" s="186"/>
      <c r="P33" s="186"/>
    </row>
    <row r="34" spans="1:16" x14ac:dyDescent="0.3">
      <c r="A34" s="718" t="s">
        <v>505</v>
      </c>
      <c r="B34" s="719"/>
      <c r="C34" s="719"/>
      <c r="D34" s="719"/>
      <c r="E34" s="719"/>
      <c r="F34" s="719"/>
      <c r="G34" s="719"/>
      <c r="H34" s="719"/>
      <c r="I34" s="719"/>
      <c r="J34" s="719"/>
      <c r="K34" s="719"/>
      <c r="L34" s="719"/>
      <c r="M34" s="720"/>
      <c r="N34" s="186"/>
      <c r="O34" s="186"/>
      <c r="P34" s="186"/>
    </row>
    <row r="35" spans="1:16" x14ac:dyDescent="0.3">
      <c r="A35" s="718" t="s">
        <v>522</v>
      </c>
      <c r="B35" s="719"/>
      <c r="C35" s="719"/>
      <c r="D35" s="719"/>
      <c r="E35" s="719"/>
      <c r="F35" s="719"/>
      <c r="G35" s="719"/>
      <c r="H35" s="719"/>
      <c r="I35" s="719"/>
      <c r="J35" s="719"/>
      <c r="K35" s="719"/>
      <c r="L35" s="719"/>
      <c r="M35" s="720"/>
      <c r="N35" s="186"/>
      <c r="O35" s="186"/>
      <c r="P35" s="186"/>
    </row>
    <row r="36" spans="1:16" x14ac:dyDescent="0.3">
      <c r="A36" s="718" t="s">
        <v>518</v>
      </c>
      <c r="B36" s="719"/>
      <c r="C36" s="719"/>
      <c r="D36" s="719"/>
      <c r="E36" s="719"/>
      <c r="F36" s="719"/>
      <c r="G36" s="719"/>
      <c r="H36" s="719"/>
      <c r="I36" s="719"/>
      <c r="J36" s="719"/>
      <c r="K36" s="719"/>
      <c r="L36" s="719"/>
      <c r="M36" s="720"/>
    </row>
    <row r="37" spans="1:16" x14ac:dyDescent="0.3">
      <c r="A37" s="718" t="s">
        <v>519</v>
      </c>
      <c r="B37" s="719"/>
      <c r="C37" s="719"/>
      <c r="D37" s="719"/>
      <c r="E37" s="719"/>
      <c r="F37" s="719"/>
      <c r="G37" s="719"/>
      <c r="H37" s="719"/>
      <c r="I37" s="719"/>
      <c r="J37" s="719"/>
      <c r="K37" s="719"/>
      <c r="L37" s="719"/>
      <c r="M37" s="720"/>
    </row>
    <row r="38" spans="1:16" x14ac:dyDescent="0.3">
      <c r="A38" s="155"/>
      <c r="C38" s="136"/>
      <c r="D38" s="131"/>
      <c r="M38" s="134"/>
    </row>
    <row r="39" spans="1:16" x14ac:dyDescent="0.3">
      <c r="A39" s="155"/>
      <c r="C39" s="136"/>
      <c r="D39" s="131"/>
      <c r="M39" s="134"/>
    </row>
    <row r="40" spans="1:16" x14ac:dyDescent="0.3">
      <c r="A40" s="741" t="s">
        <v>508</v>
      </c>
      <c r="B40" s="288"/>
      <c r="C40" s="288"/>
      <c r="D40" s="288"/>
      <c r="E40" s="288"/>
      <c r="F40" s="288"/>
      <c r="G40" s="288"/>
      <c r="H40" s="288"/>
      <c r="I40" s="288"/>
      <c r="J40" s="288"/>
      <c r="K40" s="288"/>
      <c r="L40" s="288"/>
      <c r="M40" s="742"/>
    </row>
    <row r="41" spans="1:16" x14ac:dyDescent="0.3">
      <c r="A41" s="741"/>
      <c r="B41" s="288"/>
      <c r="C41" s="288"/>
      <c r="D41" s="288"/>
      <c r="E41" s="288"/>
      <c r="F41" s="288"/>
      <c r="G41" s="288"/>
      <c r="H41" s="288"/>
      <c r="I41" s="288"/>
      <c r="J41" s="288"/>
      <c r="K41" s="288"/>
      <c r="L41" s="288"/>
      <c r="M41" s="742"/>
    </row>
    <row r="42" spans="1:16" x14ac:dyDescent="0.3">
      <c r="A42" s="155"/>
      <c r="C42" s="133"/>
      <c r="D42" s="132"/>
      <c r="E42" s="86"/>
      <c r="F42" s="86"/>
      <c r="G42" s="86"/>
      <c r="H42" s="86"/>
      <c r="I42" s="86"/>
      <c r="J42" s="86"/>
      <c r="K42" s="86"/>
      <c r="L42" s="86"/>
      <c r="M42" s="151"/>
    </row>
    <row r="43" spans="1:16" x14ac:dyDescent="0.3">
      <c r="A43" s="704"/>
      <c r="B43" s="705"/>
      <c r="C43" s="705"/>
      <c r="D43" s="705"/>
      <c r="E43" s="705"/>
      <c r="F43" s="705"/>
      <c r="G43" s="705"/>
      <c r="H43" s="705"/>
      <c r="I43" s="705"/>
      <c r="J43" s="705"/>
      <c r="K43" s="705"/>
      <c r="L43" s="705"/>
      <c r="M43" s="706"/>
    </row>
    <row r="44" spans="1:16" x14ac:dyDescent="0.3">
      <c r="A44" s="155"/>
      <c r="M44" s="134"/>
    </row>
    <row r="45" spans="1:16" x14ac:dyDescent="0.3">
      <c r="A45" s="155"/>
      <c r="B45" s="130" t="s">
        <v>78</v>
      </c>
      <c r="C45" s="725">
        <f ca="1">F20</f>
        <v>45982</v>
      </c>
      <c r="D45" s="743"/>
      <c r="G45" s="288" t="s">
        <v>786</v>
      </c>
      <c r="H45" s="288"/>
      <c r="I45" s="288"/>
      <c r="J45" s="726"/>
      <c r="K45" s="726"/>
      <c r="L45" s="726"/>
      <c r="M45" s="727"/>
    </row>
    <row r="46" spans="1:16" x14ac:dyDescent="0.3">
      <c r="A46" s="155"/>
      <c r="J46" s="716" t="s">
        <v>330</v>
      </c>
      <c r="K46" s="716"/>
      <c r="L46" s="716"/>
      <c r="M46" s="717"/>
    </row>
    <row r="47" spans="1:16" x14ac:dyDescent="0.3">
      <c r="A47" s="155"/>
      <c r="M47" s="134"/>
    </row>
    <row r="48" spans="1:16" x14ac:dyDescent="0.3">
      <c r="A48" s="155"/>
      <c r="M48" s="134"/>
    </row>
    <row r="49" spans="1:23" ht="19.5" thickBot="1" x14ac:dyDescent="0.35">
      <c r="A49" s="162"/>
      <c r="B49" s="163"/>
      <c r="C49" s="163"/>
      <c r="D49" s="163"/>
      <c r="E49" s="163"/>
      <c r="F49" s="163"/>
      <c r="G49" s="163"/>
      <c r="H49" s="163"/>
      <c r="I49" s="163"/>
      <c r="J49" s="163"/>
      <c r="K49" s="163"/>
      <c r="L49" s="163"/>
      <c r="M49" s="164"/>
    </row>
    <row r="50" spans="1:23" x14ac:dyDescent="0.3">
      <c r="A50" s="152"/>
      <c r="B50" s="153"/>
      <c r="C50" s="153"/>
      <c r="D50" s="153"/>
      <c r="E50" s="153"/>
      <c r="F50" s="153"/>
      <c r="G50" s="153"/>
      <c r="H50" s="153"/>
      <c r="I50" s="153"/>
      <c r="J50" s="153"/>
      <c r="K50" s="153"/>
      <c r="L50" s="153"/>
      <c r="M50" s="154">
        <v>2</v>
      </c>
    </row>
    <row r="51" spans="1:23" x14ac:dyDescent="0.3">
      <c r="A51" s="155"/>
      <c r="H51" s="732" t="str">
        <f>H2</f>
        <v>И.П. Зинченко М. А.</v>
      </c>
      <c r="I51" s="732"/>
      <c r="J51" s="732"/>
      <c r="K51" s="732"/>
      <c r="L51" s="732"/>
      <c r="M51" s="733"/>
    </row>
    <row r="52" spans="1:23" x14ac:dyDescent="0.3">
      <c r="A52" s="155"/>
      <c r="J52" s="732" t="s">
        <v>331</v>
      </c>
      <c r="K52" s="732"/>
      <c r="L52" s="732"/>
      <c r="M52" s="733"/>
    </row>
    <row r="53" spans="1:23" ht="19.5" thickBot="1" x14ac:dyDescent="0.35">
      <c r="A53" s="155"/>
      <c r="J53" s="746" t="str">
        <f>J4</f>
        <v>=D7</v>
      </c>
      <c r="K53" s="746"/>
      <c r="L53" s="746"/>
      <c r="M53" s="747"/>
    </row>
    <row r="54" spans="1:23" x14ac:dyDescent="0.3">
      <c r="A54" s="155"/>
      <c r="J54" s="732" t="s">
        <v>332</v>
      </c>
      <c r="K54" s="732"/>
      <c r="L54" s="732"/>
      <c r="M54" s="733"/>
      <c r="O54" s="752" t="str">
        <f>O5</f>
        <v>Оборудование вернули но не оплатили</v>
      </c>
      <c r="P54" s="753"/>
      <c r="Q54" s="753"/>
      <c r="R54" s="753"/>
      <c r="S54" s="753"/>
      <c r="T54" s="753"/>
      <c r="U54" s="753"/>
      <c r="V54" s="753"/>
      <c r="W54" s="754"/>
    </row>
    <row r="55" spans="1:23" x14ac:dyDescent="0.3">
      <c r="A55" s="155"/>
      <c r="M55" s="134"/>
      <c r="O55" s="755"/>
      <c r="P55" s="756"/>
      <c r="Q55" s="756"/>
      <c r="R55" s="756"/>
      <c r="S55" s="756"/>
      <c r="T55" s="756"/>
      <c r="U55" s="756"/>
      <c r="V55" s="756"/>
      <c r="W55" s="757"/>
    </row>
    <row r="56" spans="1:23" x14ac:dyDescent="0.3">
      <c r="A56" s="155"/>
      <c r="M56" s="134"/>
      <c r="O56" s="755"/>
      <c r="P56" s="756"/>
      <c r="Q56" s="756"/>
      <c r="R56" s="756"/>
      <c r="S56" s="756"/>
      <c r="T56" s="756"/>
      <c r="U56" s="756"/>
      <c r="V56" s="756"/>
      <c r="W56" s="757"/>
    </row>
    <row r="57" spans="1:23" ht="19.5" thickBot="1" x14ac:dyDescent="0.35">
      <c r="A57" s="155"/>
      <c r="M57" s="134"/>
      <c r="O57" s="758"/>
      <c r="P57" s="759"/>
      <c r="Q57" s="759"/>
      <c r="R57" s="759"/>
      <c r="S57" s="759"/>
      <c r="T57" s="759"/>
      <c r="U57" s="759"/>
      <c r="V57" s="759"/>
      <c r="W57" s="760"/>
    </row>
    <row r="58" spans="1:23" ht="32.25" thickBot="1" x14ac:dyDescent="0.55000000000000004">
      <c r="A58" s="734" t="s">
        <v>612</v>
      </c>
      <c r="B58" s="735"/>
      <c r="C58" s="735"/>
      <c r="D58" s="735"/>
      <c r="E58" s="735"/>
      <c r="F58" s="735"/>
      <c r="G58" s="735"/>
      <c r="H58" s="735"/>
      <c r="I58" s="735"/>
      <c r="J58" s="735"/>
      <c r="K58" s="735"/>
      <c r="L58" s="735"/>
      <c r="M58" s="736"/>
    </row>
    <row r="59" spans="1:23" x14ac:dyDescent="0.3">
      <c r="A59" s="155"/>
      <c r="M59" s="134"/>
    </row>
    <row r="60" spans="1:23" x14ac:dyDescent="0.3">
      <c r="A60" s="156"/>
      <c r="B60" s="137"/>
      <c r="C60" s="137"/>
      <c r="D60" s="737" t="s">
        <v>327</v>
      </c>
      <c r="E60" s="737"/>
      <c r="F60" s="737" t="str">
        <f>Дог.!$A$18</f>
        <v>{{CLIENT_FULLNAME}}</v>
      </c>
      <c r="G60" s="737"/>
      <c r="H60" s="737"/>
      <c r="I60" s="737"/>
      <c r="J60" s="737"/>
      <c r="K60" s="137"/>
      <c r="L60" s="127" t="str">
        <f>L11</f>
        <v>ХХХХХ</v>
      </c>
      <c r="M60" s="157" t="s">
        <v>248</v>
      </c>
    </row>
    <row r="61" spans="1:23" ht="19.5" thickBot="1" x14ac:dyDescent="0.35">
      <c r="A61" s="155"/>
      <c r="M61" s="134"/>
    </row>
    <row r="62" spans="1:23" ht="19.5" thickBot="1" x14ac:dyDescent="0.35">
      <c r="A62" s="704" t="s">
        <v>337</v>
      </c>
      <c r="B62" s="705"/>
      <c r="C62" s="705"/>
      <c r="D62" s="705"/>
      <c r="E62" s="705"/>
      <c r="F62" s="705"/>
      <c r="G62" s="128">
        <f ca="1">G13</f>
        <v>21</v>
      </c>
      <c r="H62" s="129">
        <f ca="1">H13</f>
        <v>11</v>
      </c>
      <c r="I62" s="129">
        <f ca="1">I13</f>
        <v>2025</v>
      </c>
      <c r="J62" s="234">
        <f ca="1">J13</f>
        <v>45982.790570370373</v>
      </c>
      <c r="K62" s="131" t="s">
        <v>250</v>
      </c>
      <c r="L62" s="136">
        <f ca="1">L13</f>
        <v>45982</v>
      </c>
      <c r="M62" s="134"/>
    </row>
    <row r="63" spans="1:23" x14ac:dyDescent="0.3">
      <c r="A63" s="704" t="s">
        <v>495</v>
      </c>
      <c r="B63" s="705"/>
      <c r="C63" s="705"/>
      <c r="D63" s="705"/>
      <c r="E63" s="705"/>
      <c r="F63" s="705"/>
      <c r="G63" s="705"/>
      <c r="H63" s="705"/>
      <c r="I63" s="705"/>
      <c r="J63" s="705"/>
      <c r="K63" s="705"/>
      <c r="L63" s="705"/>
      <c r="M63" s="706"/>
    </row>
    <row r="64" spans="1:23" x14ac:dyDescent="0.3">
      <c r="A64" s="704" t="s">
        <v>509</v>
      </c>
      <c r="B64" s="705"/>
      <c r="C64" s="705"/>
      <c r="D64" s="705"/>
      <c r="E64" s="705"/>
      <c r="F64" s="705"/>
      <c r="G64" s="705"/>
      <c r="H64" s="705"/>
      <c r="I64" s="705"/>
      <c r="J64" s="705"/>
      <c r="K64" s="705"/>
      <c r="L64" s="705"/>
      <c r="M64" s="706"/>
    </row>
    <row r="65" spans="1:15" ht="19.5" thickBot="1" x14ac:dyDescent="0.35">
      <c r="A65" s="718" t="s">
        <v>511</v>
      </c>
      <c r="B65" s="719"/>
      <c r="C65" s="719"/>
      <c r="D65" s="719"/>
      <c r="E65" s="719"/>
      <c r="F65" s="719"/>
      <c r="G65" s="719"/>
      <c r="H65" s="719"/>
      <c r="I65" s="719"/>
      <c r="J65" s="719"/>
      <c r="K65" s="719"/>
      <c r="L65" s="719"/>
      <c r="M65" s="720"/>
    </row>
    <row r="66" spans="1:15" ht="19.5" thickBot="1" x14ac:dyDescent="0.35">
      <c r="A66" s="765">
        <f ca="1">A17</f>
        <v>45985</v>
      </c>
      <c r="B66" s="766"/>
      <c r="C66" s="148"/>
      <c r="D66" s="148"/>
      <c r="E66" s="148"/>
      <c r="F66" s="148"/>
      <c r="G66" s="148"/>
      <c r="H66" s="148"/>
      <c r="I66" s="148"/>
      <c r="J66" s="148"/>
      <c r="K66" s="148"/>
      <c r="L66" s="148"/>
      <c r="M66" s="159"/>
    </row>
    <row r="67" spans="1:15" x14ac:dyDescent="0.3">
      <c r="A67" s="718" t="s">
        <v>521</v>
      </c>
      <c r="B67" s="719"/>
      <c r="C67" s="719"/>
      <c r="D67" s="719"/>
      <c r="E67" s="719"/>
      <c r="F67" s="719"/>
      <c r="G67" s="719"/>
      <c r="H67" s="719"/>
      <c r="I67" s="719"/>
      <c r="J67" s="719"/>
      <c r="K67" s="719"/>
      <c r="L67" s="719"/>
      <c r="M67" s="720"/>
    </row>
    <row r="68" spans="1:15" x14ac:dyDescent="0.3">
      <c r="A68" s="722" t="s">
        <v>602</v>
      </c>
      <c r="B68" s="719"/>
      <c r="C68" s="719"/>
      <c r="D68" s="719"/>
      <c r="E68" s="719"/>
      <c r="F68" s="719"/>
      <c r="G68" s="719"/>
      <c r="H68" s="719"/>
      <c r="I68" s="719"/>
      <c r="J68" s="719"/>
      <c r="K68" s="719"/>
      <c r="L68" s="719"/>
      <c r="M68" s="720"/>
    </row>
    <row r="69" spans="1:15" x14ac:dyDescent="0.3">
      <c r="A69" s="718" t="str">
        <f>H51</f>
        <v>И.П. Зинченко М. А.</v>
      </c>
      <c r="B69" s="719"/>
      <c r="C69" s="731" t="s">
        <v>379</v>
      </c>
      <c r="D69" s="731"/>
      <c r="E69" s="731"/>
      <c r="F69" s="136">
        <f ca="1">F20</f>
        <v>45982</v>
      </c>
      <c r="G69" s="719" t="s">
        <v>517</v>
      </c>
      <c r="H69" s="719"/>
      <c r="I69" s="719"/>
      <c r="J69" s="719"/>
      <c r="K69" s="719"/>
      <c r="L69" s="719"/>
      <c r="M69" s="720"/>
    </row>
    <row r="70" spans="1:15" x14ac:dyDescent="0.3">
      <c r="A70" s="718" t="s">
        <v>499</v>
      </c>
      <c r="B70" s="719"/>
      <c r="C70" s="719"/>
      <c r="D70" s="719"/>
      <c r="E70" s="719"/>
      <c r="F70" s="719"/>
      <c r="G70" s="719"/>
      <c r="H70" s="719"/>
      <c r="I70" s="719"/>
      <c r="J70" s="719"/>
      <c r="K70" s="719"/>
      <c r="L70" s="719"/>
      <c r="M70" s="720"/>
    </row>
    <row r="71" spans="1:15" x14ac:dyDescent="0.3">
      <c r="A71" s="718" t="s">
        <v>512</v>
      </c>
      <c r="B71" s="719"/>
      <c r="C71" s="719"/>
      <c r="D71" s="719"/>
      <c r="E71" s="719"/>
      <c r="F71" s="719"/>
      <c r="G71" s="719"/>
      <c r="H71" s="719"/>
      <c r="I71" s="719"/>
      <c r="J71" s="719"/>
      <c r="K71" s="719"/>
      <c r="L71" s="719"/>
      <c r="M71" s="720"/>
      <c r="O71" s="144"/>
    </row>
    <row r="72" spans="1:15" x14ac:dyDescent="0.3">
      <c r="A72" s="718" t="s">
        <v>527</v>
      </c>
      <c r="B72" s="719"/>
      <c r="C72" s="719"/>
      <c r="D72" s="719"/>
      <c r="E72" s="719"/>
      <c r="F72" s="719"/>
      <c r="G72" s="719"/>
      <c r="H72" s="719"/>
      <c r="I72" s="719"/>
      <c r="J72" s="719"/>
      <c r="K72" s="719"/>
      <c r="L72" s="719"/>
      <c r="M72" s="720"/>
      <c r="O72" s="144"/>
    </row>
    <row r="73" spans="1:15" x14ac:dyDescent="0.3">
      <c r="A73" s="704"/>
      <c r="B73" s="705"/>
      <c r="C73" s="288" t="s">
        <v>389</v>
      </c>
      <c r="D73" s="288"/>
      <c r="E73" s="721">
        <f ca="1">'Акт расч'!P48</f>
        <v>-3000</v>
      </c>
      <c r="F73" s="721"/>
      <c r="G73" s="86"/>
      <c r="H73" s="86"/>
      <c r="I73" s="145"/>
      <c r="J73" s="145"/>
      <c r="K73" s="145"/>
      <c r="L73" s="145"/>
      <c r="M73" s="161"/>
    </row>
    <row r="74" spans="1:15" ht="19.5" thickBot="1" x14ac:dyDescent="0.35">
      <c r="A74" s="160"/>
      <c r="B74" s="146"/>
      <c r="C74" s="45"/>
      <c r="D74" s="132"/>
      <c r="E74" s="132"/>
      <c r="F74" s="132"/>
      <c r="G74" s="132"/>
      <c r="H74" s="132"/>
      <c r="I74" s="135"/>
      <c r="J74" s="135"/>
      <c r="K74" s="135"/>
      <c r="L74" s="135"/>
      <c r="M74" s="161"/>
    </row>
    <row r="75" spans="1:15" ht="19.5" thickBot="1" x14ac:dyDescent="0.35">
      <c r="A75" s="741" t="s">
        <v>528</v>
      </c>
      <c r="B75" s="288"/>
      <c r="C75" s="744">
        <f ca="1">F69+1</f>
        <v>45983</v>
      </c>
      <c r="D75" s="745"/>
      <c r="E75" s="723" t="s">
        <v>523</v>
      </c>
      <c r="F75" s="723"/>
      <c r="G75" s="723"/>
      <c r="H75" s="723"/>
      <c r="I75" s="723"/>
      <c r="J75" s="723"/>
      <c r="K75" s="723"/>
      <c r="L75" s="723"/>
      <c r="M75" s="724"/>
    </row>
    <row r="76" spans="1:15" x14ac:dyDescent="0.3">
      <c r="A76" s="155"/>
      <c r="C76" s="136"/>
      <c r="D76" s="131"/>
      <c r="M76" s="134"/>
    </row>
    <row r="77" spans="1:15" x14ac:dyDescent="0.3">
      <c r="A77" s="722" t="s">
        <v>475</v>
      </c>
      <c r="B77" s="723"/>
      <c r="C77" s="723"/>
      <c r="D77" s="723"/>
      <c r="E77" s="723"/>
      <c r="F77" s="723"/>
      <c r="G77" s="723"/>
      <c r="H77" s="723"/>
      <c r="I77" s="723"/>
      <c r="J77" s="723"/>
      <c r="K77" s="723"/>
      <c r="L77" s="723"/>
      <c r="M77" s="724"/>
    </row>
    <row r="78" spans="1:15" x14ac:dyDescent="0.3">
      <c r="A78" s="718" t="s">
        <v>269</v>
      </c>
      <c r="B78" s="719"/>
      <c r="C78" s="719"/>
      <c r="D78" s="719"/>
      <c r="E78" s="719"/>
      <c r="F78" s="719"/>
      <c r="G78" s="719"/>
      <c r="H78" s="719"/>
      <c r="I78" s="719"/>
      <c r="J78" s="719"/>
      <c r="K78" s="719"/>
      <c r="L78" s="719"/>
      <c r="M78" s="720"/>
    </row>
    <row r="79" spans="1:15" x14ac:dyDescent="0.3">
      <c r="A79" s="718" t="s">
        <v>396</v>
      </c>
      <c r="B79" s="719"/>
      <c r="C79" s="719"/>
      <c r="D79" s="719"/>
      <c r="E79" s="719"/>
      <c r="F79" s="719"/>
      <c r="G79" s="719"/>
      <c r="H79" s="719"/>
      <c r="I79" s="719"/>
      <c r="J79" s="719"/>
      <c r="K79" s="719"/>
      <c r="L79" s="719"/>
      <c r="M79" s="720"/>
    </row>
    <row r="80" spans="1:15" x14ac:dyDescent="0.3">
      <c r="A80" s="718" t="s">
        <v>270</v>
      </c>
      <c r="B80" s="719"/>
      <c r="C80" s="719"/>
      <c r="D80" s="719"/>
      <c r="E80" s="719"/>
      <c r="F80" s="719"/>
      <c r="G80" s="719"/>
      <c r="H80" s="719"/>
      <c r="I80" s="719"/>
      <c r="J80" s="719"/>
      <c r="K80" s="719"/>
      <c r="L80" s="719"/>
      <c r="M80" s="720"/>
    </row>
    <row r="81" spans="1:13" x14ac:dyDescent="0.3">
      <c r="A81" s="718" t="s">
        <v>271</v>
      </c>
      <c r="B81" s="719"/>
      <c r="C81" s="719"/>
      <c r="D81" s="719"/>
      <c r="E81" s="719"/>
      <c r="F81" s="719"/>
      <c r="G81" s="719"/>
      <c r="H81" s="719"/>
      <c r="I81" s="719"/>
      <c r="J81" s="719"/>
      <c r="K81" s="719"/>
      <c r="L81" s="719"/>
      <c r="M81" s="720"/>
    </row>
    <row r="82" spans="1:13" x14ac:dyDescent="0.3">
      <c r="A82" s="738" t="s">
        <v>530</v>
      </c>
      <c r="B82" s="739"/>
      <c r="C82" s="739"/>
      <c r="D82" s="739"/>
      <c r="E82" s="739"/>
      <c r="F82" s="739"/>
      <c r="G82" s="739"/>
      <c r="H82" s="739"/>
      <c r="I82" s="739"/>
      <c r="J82" s="739"/>
      <c r="K82" s="739"/>
      <c r="L82" s="739"/>
      <c r="M82" s="740"/>
    </row>
    <row r="83" spans="1:13" x14ac:dyDescent="0.3">
      <c r="A83" s="738" t="s">
        <v>513</v>
      </c>
      <c r="B83" s="739"/>
      <c r="C83" s="739"/>
      <c r="D83" s="739"/>
      <c r="E83" s="739"/>
      <c r="F83" s="739"/>
      <c r="G83" s="739"/>
      <c r="H83" s="166"/>
      <c r="I83" s="166"/>
      <c r="J83" s="166"/>
      <c r="K83" s="166"/>
      <c r="L83" s="166"/>
      <c r="M83" s="169"/>
    </row>
    <row r="84" spans="1:13" x14ac:dyDescent="0.3">
      <c r="A84" s="718" t="s">
        <v>390</v>
      </c>
      <c r="B84" s="719"/>
      <c r="C84" s="719"/>
      <c r="D84" s="719"/>
      <c r="E84" s="719"/>
      <c r="F84" s="719"/>
      <c r="G84" s="719"/>
      <c r="H84" s="719"/>
      <c r="I84" s="719"/>
      <c r="J84" s="719"/>
      <c r="K84" s="719"/>
      <c r="L84" s="719"/>
      <c r="M84" s="720"/>
    </row>
    <row r="85" spans="1:13" x14ac:dyDescent="0.3">
      <c r="A85" s="718" t="s">
        <v>391</v>
      </c>
      <c r="B85" s="719"/>
      <c r="C85" s="719"/>
      <c r="D85" s="719"/>
      <c r="E85" s="719"/>
      <c r="F85" s="719"/>
      <c r="G85" s="719"/>
      <c r="H85" s="719"/>
      <c r="I85" s="719"/>
      <c r="J85" s="719"/>
      <c r="K85" s="719"/>
      <c r="L85" s="719"/>
      <c r="M85" s="720"/>
    </row>
    <row r="86" spans="1:13" x14ac:dyDescent="0.3">
      <c r="A86" s="718" t="s">
        <v>393</v>
      </c>
      <c r="B86" s="719"/>
      <c r="C86" s="719"/>
      <c r="D86" s="719"/>
      <c r="E86" s="719"/>
      <c r="F86" s="719"/>
      <c r="G86" s="719"/>
      <c r="H86" s="719"/>
      <c r="I86" s="719"/>
      <c r="J86" s="719"/>
      <c r="K86" s="719"/>
      <c r="L86" s="719"/>
      <c r="M86" s="720"/>
    </row>
    <row r="87" spans="1:13" x14ac:dyDescent="0.3">
      <c r="A87" s="718" t="s">
        <v>423</v>
      </c>
      <c r="B87" s="719"/>
      <c r="C87" s="719"/>
      <c r="D87" s="719"/>
      <c r="E87" s="719"/>
      <c r="F87" s="719"/>
      <c r="G87" s="719"/>
      <c r="H87" s="719"/>
      <c r="I87" s="719"/>
      <c r="J87" s="719"/>
      <c r="K87" s="719"/>
      <c r="L87" s="719"/>
      <c r="M87" s="720"/>
    </row>
    <row r="88" spans="1:13" x14ac:dyDescent="0.3">
      <c r="A88" s="718" t="s">
        <v>398</v>
      </c>
      <c r="B88" s="719"/>
      <c r="C88" s="719"/>
      <c r="D88" s="719"/>
      <c r="E88" s="719"/>
      <c r="F88" s="719"/>
      <c r="G88" s="719"/>
      <c r="H88" s="719"/>
      <c r="I88" s="719"/>
      <c r="J88" s="719"/>
      <c r="K88" s="719"/>
      <c r="L88" s="719"/>
      <c r="M88" s="720"/>
    </row>
    <row r="89" spans="1:13" x14ac:dyDescent="0.3">
      <c r="A89" s="722" t="s">
        <v>399</v>
      </c>
      <c r="B89" s="723"/>
      <c r="C89" s="723"/>
      <c r="D89" s="723"/>
      <c r="E89" s="723"/>
      <c r="F89" s="723"/>
      <c r="G89" s="723"/>
      <c r="H89" s="723"/>
      <c r="I89" s="723"/>
      <c r="J89" s="723"/>
      <c r="K89" s="723"/>
      <c r="L89" s="723"/>
      <c r="M89" s="724"/>
    </row>
    <row r="90" spans="1:13" x14ac:dyDescent="0.3">
      <c r="A90" s="155"/>
      <c r="C90" s="133"/>
      <c r="D90" s="132"/>
      <c r="E90" s="86"/>
      <c r="F90" s="86"/>
      <c r="G90" s="86"/>
      <c r="H90" s="86"/>
      <c r="I90" s="86"/>
      <c r="J90" s="86"/>
      <c r="K90" s="86"/>
      <c r="L90" s="86"/>
      <c r="M90" s="151"/>
    </row>
    <row r="91" spans="1:13" x14ac:dyDescent="0.3">
      <c r="A91" s="741" t="s">
        <v>520</v>
      </c>
      <c r="B91" s="288"/>
      <c r="C91" s="288"/>
      <c r="D91" s="288"/>
      <c r="E91" s="288"/>
      <c r="F91" s="288"/>
      <c r="G91" s="288"/>
      <c r="H91" s="288"/>
      <c r="I91" s="288"/>
      <c r="J91" s="288"/>
      <c r="K91" s="288"/>
      <c r="L91" s="288"/>
      <c r="M91" s="742"/>
    </row>
    <row r="92" spans="1:13" x14ac:dyDescent="0.3">
      <c r="A92" s="167"/>
      <c r="B92" s="131"/>
      <c r="C92" s="131"/>
      <c r="D92" s="131"/>
      <c r="E92" s="131"/>
      <c r="F92" s="131"/>
      <c r="G92" s="131"/>
      <c r="H92" s="131"/>
      <c r="I92" s="131"/>
      <c r="J92" s="131"/>
      <c r="K92" s="131"/>
      <c r="L92" s="131"/>
      <c r="M92" s="168"/>
    </row>
    <row r="93" spans="1:13" x14ac:dyDescent="0.3">
      <c r="A93" s="155"/>
      <c r="C93" s="136"/>
      <c r="D93" s="131"/>
      <c r="M93" s="134"/>
    </row>
    <row r="94" spans="1:13" x14ac:dyDescent="0.3">
      <c r="A94" s="155"/>
      <c r="M94" s="134"/>
    </row>
    <row r="95" spans="1:13" x14ac:dyDescent="0.3">
      <c r="A95" s="155"/>
      <c r="B95" s="130" t="s">
        <v>78</v>
      </c>
      <c r="C95" s="725">
        <f ca="1">F69</f>
        <v>45982</v>
      </c>
      <c r="D95" s="743"/>
      <c r="G95" s="288" t="str">
        <f>G45</f>
        <v>Зинченко М.А.</v>
      </c>
      <c r="H95" s="288"/>
      <c r="I95" s="288"/>
      <c r="J95" s="726"/>
      <c r="K95" s="726"/>
      <c r="L95" s="726"/>
      <c r="M95" s="727"/>
    </row>
    <row r="96" spans="1:13" x14ac:dyDescent="0.3">
      <c r="A96" s="155"/>
      <c r="J96" s="716" t="s">
        <v>330</v>
      </c>
      <c r="K96" s="716"/>
      <c r="L96" s="716"/>
      <c r="M96" s="717"/>
    </row>
    <row r="97" spans="1:23" x14ac:dyDescent="0.3">
      <c r="A97" s="155"/>
      <c r="M97" s="134"/>
    </row>
    <row r="98" spans="1:23" x14ac:dyDescent="0.3">
      <c r="A98" s="155"/>
      <c r="M98" s="134"/>
    </row>
    <row r="99" spans="1:23" ht="19.5" thickBot="1" x14ac:dyDescent="0.35">
      <c r="A99" s="162"/>
      <c r="B99" s="163"/>
      <c r="C99" s="163"/>
      <c r="D99" s="163"/>
      <c r="E99" s="163"/>
      <c r="F99" s="163"/>
      <c r="G99" s="163"/>
      <c r="H99" s="163"/>
      <c r="I99" s="163"/>
      <c r="J99" s="163"/>
      <c r="K99" s="163"/>
      <c r="L99" s="163"/>
      <c r="M99" s="164"/>
    </row>
    <row r="100" spans="1:23" x14ac:dyDescent="0.3">
      <c r="A100" s="152"/>
      <c r="B100" s="153"/>
      <c r="C100" s="153"/>
      <c r="D100" s="153"/>
      <c r="E100" s="153"/>
      <c r="F100" s="153"/>
      <c r="G100" s="153"/>
      <c r="H100" s="153"/>
      <c r="I100" s="153"/>
      <c r="J100" s="153"/>
      <c r="K100" s="153"/>
      <c r="L100" s="153"/>
      <c r="M100" s="154">
        <v>3</v>
      </c>
    </row>
    <row r="101" spans="1:23" x14ac:dyDescent="0.3">
      <c r="A101" s="155"/>
      <c r="H101" s="732" t="str">
        <f>H51</f>
        <v>И.П. Зинченко М. А.</v>
      </c>
      <c r="I101" s="732"/>
      <c r="J101" s="732"/>
      <c r="K101" s="732"/>
      <c r="L101" s="732"/>
      <c r="M101" s="733"/>
    </row>
    <row r="102" spans="1:23" x14ac:dyDescent="0.3">
      <c r="A102" s="155"/>
      <c r="J102" s="732" t="s">
        <v>331</v>
      </c>
      <c r="K102" s="732"/>
      <c r="L102" s="732"/>
      <c r="M102" s="733"/>
    </row>
    <row r="103" spans="1:23" ht="19.5" thickBot="1" x14ac:dyDescent="0.35">
      <c r="A103" s="155"/>
      <c r="J103" s="746" t="str">
        <f>J4</f>
        <v>=D7</v>
      </c>
      <c r="K103" s="746"/>
      <c r="L103" s="746"/>
      <c r="M103" s="747"/>
    </row>
    <row r="104" spans="1:23" x14ac:dyDescent="0.3">
      <c r="A104" s="155"/>
      <c r="J104" s="732" t="s">
        <v>332</v>
      </c>
      <c r="K104" s="732"/>
      <c r="L104" s="732"/>
      <c r="M104" s="733"/>
      <c r="O104" s="752" t="str">
        <f>O54</f>
        <v>Оборудование вернули но не оплатили</v>
      </c>
      <c r="P104" s="753"/>
      <c r="Q104" s="753"/>
      <c r="R104" s="753"/>
      <c r="S104" s="753"/>
      <c r="T104" s="753"/>
      <c r="U104" s="753"/>
      <c r="V104" s="753"/>
      <c r="W104" s="754"/>
    </row>
    <row r="105" spans="1:23" x14ac:dyDescent="0.3">
      <c r="A105" s="155"/>
      <c r="M105" s="134"/>
      <c r="O105" s="755"/>
      <c r="P105" s="756"/>
      <c r="Q105" s="756"/>
      <c r="R105" s="756"/>
      <c r="S105" s="756"/>
      <c r="T105" s="756"/>
      <c r="U105" s="756"/>
      <c r="V105" s="756"/>
      <c r="W105" s="757"/>
    </row>
    <row r="106" spans="1:23" x14ac:dyDescent="0.3">
      <c r="A106" s="155"/>
      <c r="M106" s="134"/>
      <c r="O106" s="755"/>
      <c r="P106" s="756"/>
      <c r="Q106" s="756"/>
      <c r="R106" s="756"/>
      <c r="S106" s="756"/>
      <c r="T106" s="756"/>
      <c r="U106" s="756"/>
      <c r="V106" s="756"/>
      <c r="W106" s="757"/>
    </row>
    <row r="107" spans="1:23" ht="19.5" thickBot="1" x14ac:dyDescent="0.35">
      <c r="A107" s="155"/>
      <c r="M107" s="134"/>
      <c r="O107" s="758"/>
      <c r="P107" s="759"/>
      <c r="Q107" s="759"/>
      <c r="R107" s="759"/>
      <c r="S107" s="759"/>
      <c r="T107" s="759"/>
      <c r="U107" s="759"/>
      <c r="V107" s="759"/>
      <c r="W107" s="760"/>
    </row>
    <row r="108" spans="1:23" ht="32.25" thickBot="1" x14ac:dyDescent="0.55000000000000004">
      <c r="A108" s="734" t="s">
        <v>400</v>
      </c>
      <c r="B108" s="735"/>
      <c r="C108" s="735"/>
      <c r="D108" s="735"/>
      <c r="E108" s="735"/>
      <c r="F108" s="735"/>
      <c r="G108" s="735"/>
      <c r="H108" s="735"/>
      <c r="I108" s="735"/>
      <c r="J108" s="735"/>
      <c r="K108" s="735"/>
      <c r="L108" s="735"/>
      <c r="M108" s="736"/>
    </row>
    <row r="109" spans="1:23" x14ac:dyDescent="0.3">
      <c r="A109" s="155"/>
      <c r="M109" s="134"/>
    </row>
    <row r="110" spans="1:23" x14ac:dyDescent="0.3">
      <c r="A110" s="156"/>
      <c r="B110" s="137"/>
      <c r="C110" s="137"/>
      <c r="D110" s="737" t="s">
        <v>327</v>
      </c>
      <c r="E110" s="737"/>
      <c r="F110" s="737" t="str">
        <f>Дог.!$A$18</f>
        <v>{{CLIENT_FULLNAME}}</v>
      </c>
      <c r="G110" s="737"/>
      <c r="H110" s="737"/>
      <c r="I110" s="737"/>
      <c r="J110" s="737"/>
      <c r="K110" s="137"/>
      <c r="L110" s="127" t="str">
        <f>L60</f>
        <v>ХХХХХ</v>
      </c>
      <c r="M110" s="157" t="s">
        <v>248</v>
      </c>
    </row>
    <row r="111" spans="1:23" ht="19.5" thickBot="1" x14ac:dyDescent="0.35">
      <c r="A111" s="155"/>
      <c r="M111" s="134"/>
    </row>
    <row r="112" spans="1:23" ht="19.5" thickBot="1" x14ac:dyDescent="0.35">
      <c r="A112" s="704" t="s">
        <v>337</v>
      </c>
      <c r="B112" s="705"/>
      <c r="C112" s="705"/>
      <c r="D112" s="705"/>
      <c r="E112" s="705"/>
      <c r="F112" s="705"/>
      <c r="G112" s="128">
        <f ca="1">G62</f>
        <v>21</v>
      </c>
      <c r="H112" s="129">
        <f ca="1">H62</f>
        <v>11</v>
      </c>
      <c r="I112" s="129">
        <f ca="1">I62</f>
        <v>2025</v>
      </c>
      <c r="J112" s="234">
        <f ca="1">J62</f>
        <v>45982.790570370373</v>
      </c>
      <c r="K112" s="131" t="s">
        <v>250</v>
      </c>
      <c r="L112" s="136">
        <f ca="1">L62</f>
        <v>45982</v>
      </c>
      <c r="M112" s="134"/>
    </row>
    <row r="113" spans="1:13" x14ac:dyDescent="0.3">
      <c r="A113" s="704" t="s">
        <v>495</v>
      </c>
      <c r="B113" s="705"/>
      <c r="C113" s="705"/>
      <c r="D113" s="705"/>
      <c r="E113" s="705"/>
      <c r="F113" s="705"/>
      <c r="G113" s="705"/>
      <c r="H113" s="705"/>
      <c r="I113" s="705"/>
      <c r="J113" s="705"/>
      <c r="K113" s="705"/>
      <c r="L113" s="705"/>
      <c r="M113" s="706"/>
    </row>
    <row r="114" spans="1:13" x14ac:dyDescent="0.3">
      <c r="A114" s="704" t="s">
        <v>500</v>
      </c>
      <c r="B114" s="705"/>
      <c r="C114" s="705"/>
      <c r="D114" s="705"/>
      <c r="E114" s="705"/>
      <c r="F114" s="705"/>
      <c r="G114" s="705"/>
      <c r="H114" s="705"/>
      <c r="I114" s="705"/>
      <c r="J114" s="705"/>
      <c r="K114" s="705"/>
      <c r="L114" s="705"/>
      <c r="M114" s="706"/>
    </row>
    <row r="115" spans="1:13" ht="19.5" thickBot="1" x14ac:dyDescent="0.35">
      <c r="A115" s="718" t="s">
        <v>511</v>
      </c>
      <c r="B115" s="719"/>
      <c r="C115" s="719"/>
      <c r="D115" s="719"/>
      <c r="E115" s="719"/>
      <c r="F115" s="719"/>
      <c r="G115" s="719"/>
      <c r="H115" s="719"/>
      <c r="I115" s="719"/>
      <c r="J115" s="719"/>
      <c r="K115" s="719"/>
      <c r="L115" s="719"/>
      <c r="M115" s="720"/>
    </row>
    <row r="116" spans="1:13" ht="19.5" thickBot="1" x14ac:dyDescent="0.35">
      <c r="A116" s="765">
        <f ca="1">A66</f>
        <v>45985</v>
      </c>
      <c r="B116" s="766"/>
      <c r="C116" s="148"/>
      <c r="D116" s="148"/>
      <c r="E116" s="148"/>
      <c r="F116" s="148"/>
      <c r="G116" s="148"/>
      <c r="H116" s="148"/>
      <c r="I116" s="148"/>
      <c r="J116" s="148"/>
      <c r="K116" s="148"/>
      <c r="L116" s="148"/>
      <c r="M116" s="159"/>
    </row>
    <row r="117" spans="1:13" x14ac:dyDescent="0.3">
      <c r="A117" s="718" t="s">
        <v>516</v>
      </c>
      <c r="B117" s="719"/>
      <c r="C117" s="719"/>
      <c r="D117" s="719"/>
      <c r="E117" s="719"/>
      <c r="F117" s="719"/>
      <c r="G117" s="719"/>
      <c r="H117" s="719"/>
      <c r="I117" s="719"/>
      <c r="J117" s="719"/>
      <c r="K117" s="719"/>
      <c r="L117" s="719"/>
      <c r="M117" s="720"/>
    </row>
    <row r="118" spans="1:13" x14ac:dyDescent="0.3">
      <c r="A118" s="722" t="s">
        <v>510</v>
      </c>
      <c r="B118" s="719"/>
      <c r="C118" s="719"/>
      <c r="D118" s="719"/>
      <c r="E118" s="719"/>
      <c r="F118" s="719"/>
      <c r="G118" s="719"/>
      <c r="H118" s="719"/>
      <c r="I118" s="719"/>
      <c r="J118" s="719"/>
      <c r="K118" s="719"/>
      <c r="L118" s="719"/>
      <c r="M118" s="720"/>
    </row>
    <row r="119" spans="1:13" x14ac:dyDescent="0.3">
      <c r="A119" s="718" t="str">
        <f>H101</f>
        <v>И.П. Зинченко М. А.</v>
      </c>
      <c r="B119" s="719"/>
      <c r="C119" s="731" t="s">
        <v>379</v>
      </c>
      <c r="D119" s="731"/>
      <c r="E119" s="731"/>
      <c r="F119" s="136">
        <f ca="1">F69</f>
        <v>45982</v>
      </c>
      <c r="G119" s="719" t="s">
        <v>402</v>
      </c>
      <c r="H119" s="719"/>
      <c r="I119" s="719"/>
      <c r="J119" s="719"/>
      <c r="K119" s="719"/>
      <c r="L119" s="719"/>
      <c r="M119" s="720"/>
    </row>
    <row r="120" spans="1:13" x14ac:dyDescent="0.3">
      <c r="A120" s="718" t="s">
        <v>401</v>
      </c>
      <c r="B120" s="719"/>
      <c r="C120" s="719"/>
      <c r="D120" s="719"/>
      <c r="E120" s="719"/>
      <c r="F120" s="719"/>
      <c r="G120" s="719"/>
      <c r="H120" s="719"/>
      <c r="I120" s="719"/>
      <c r="J120" s="719"/>
      <c r="K120" s="719"/>
      <c r="L120" s="719"/>
      <c r="M120" s="720"/>
    </row>
    <row r="121" spans="1:13" x14ac:dyDescent="0.3">
      <c r="A121" s="718" t="s">
        <v>405</v>
      </c>
      <c r="B121" s="719"/>
      <c r="C121" s="721">
        <f ca="1">'Акт расч'!P48</f>
        <v>-3000</v>
      </c>
      <c r="D121" s="721"/>
      <c r="E121" s="147"/>
      <c r="F121" s="147"/>
      <c r="G121" s="147"/>
      <c r="H121" s="147"/>
      <c r="I121" s="147"/>
      <c r="J121" s="147"/>
      <c r="K121" s="147"/>
      <c r="L121" s="147"/>
      <c r="M121" s="165"/>
    </row>
    <row r="122" spans="1:13" x14ac:dyDescent="0.3">
      <c r="A122" s="718" t="s">
        <v>403</v>
      </c>
      <c r="B122" s="719"/>
      <c r="C122" s="719"/>
      <c r="D122" s="719"/>
      <c r="E122" s="719"/>
      <c r="F122" s="719"/>
      <c r="G122" s="719"/>
      <c r="H122" s="719"/>
      <c r="I122" s="719"/>
      <c r="J122" s="719"/>
      <c r="K122" s="719"/>
      <c r="L122" s="719"/>
      <c r="M122" s="720"/>
    </row>
    <row r="123" spans="1:13" x14ac:dyDescent="0.3">
      <c r="A123" s="704" t="s">
        <v>514</v>
      </c>
      <c r="B123" s="705"/>
      <c r="C123" s="705"/>
      <c r="D123" s="705"/>
      <c r="E123" s="705"/>
      <c r="F123" s="705"/>
      <c r="G123" s="705"/>
      <c r="H123" s="705"/>
      <c r="I123" s="705"/>
      <c r="J123" s="705"/>
      <c r="K123" s="705"/>
      <c r="L123" s="705"/>
      <c r="M123" s="706"/>
    </row>
    <row r="124" spans="1:13" ht="28.5" x14ac:dyDescent="0.45">
      <c r="A124" s="728" t="s">
        <v>417</v>
      </c>
      <c r="B124" s="729"/>
      <c r="C124" s="729"/>
      <c r="D124" s="729"/>
      <c r="E124" s="729"/>
      <c r="F124" s="729"/>
      <c r="G124" s="729"/>
      <c r="H124" s="729"/>
      <c r="I124" s="729"/>
      <c r="J124" s="729"/>
      <c r="K124" s="729"/>
      <c r="L124" s="729"/>
      <c r="M124" s="730"/>
    </row>
    <row r="125" spans="1:13" x14ac:dyDescent="0.3">
      <c r="A125" s="704" t="s">
        <v>480</v>
      </c>
      <c r="B125" s="705"/>
      <c r="C125" s="705"/>
      <c r="D125" s="705"/>
      <c r="E125" s="705"/>
      <c r="F125" s="705"/>
      <c r="G125" s="705"/>
      <c r="H125" s="705"/>
      <c r="I125" s="705"/>
      <c r="J125" s="705"/>
      <c r="K125" s="705"/>
      <c r="L125" s="705"/>
      <c r="M125" s="706"/>
    </row>
    <row r="126" spans="1:13" x14ac:dyDescent="0.3">
      <c r="A126" s="704" t="s">
        <v>478</v>
      </c>
      <c r="B126" s="705"/>
      <c r="C126" s="705"/>
      <c r="D126" s="705"/>
      <c r="E126" s="705"/>
      <c r="F126" s="705"/>
      <c r="G126" s="705"/>
      <c r="H126" s="705"/>
      <c r="I126" s="705"/>
      <c r="J126" s="705"/>
      <c r="K126" s="705"/>
      <c r="L126" s="705"/>
      <c r="M126" s="706"/>
    </row>
    <row r="127" spans="1:13" x14ac:dyDescent="0.3">
      <c r="A127" s="704" t="s">
        <v>479</v>
      </c>
      <c r="B127" s="705"/>
      <c r="C127" s="705"/>
      <c r="D127" s="705"/>
      <c r="E127" s="705"/>
      <c r="F127" s="705"/>
      <c r="G127" s="705"/>
      <c r="H127" s="705"/>
      <c r="I127" s="705"/>
      <c r="J127" s="705"/>
      <c r="K127" s="705"/>
      <c r="L127" s="705"/>
      <c r="M127" s="706"/>
    </row>
    <row r="128" spans="1:13" x14ac:dyDescent="0.3">
      <c r="A128" s="704" t="s">
        <v>334</v>
      </c>
      <c r="B128" s="705"/>
      <c r="C128" s="705"/>
      <c r="D128" s="705"/>
      <c r="E128" s="705"/>
      <c r="F128" s="705"/>
      <c r="G128" s="705"/>
      <c r="H128" s="705"/>
      <c r="I128" s="705"/>
      <c r="J128" s="705"/>
      <c r="K128" s="705"/>
      <c r="L128" s="705"/>
      <c r="M128" s="706"/>
    </row>
    <row r="129" spans="1:13" x14ac:dyDescent="0.3">
      <c r="A129" s="704" t="s">
        <v>335</v>
      </c>
      <c r="B129" s="705"/>
      <c r="C129" s="705"/>
      <c r="D129" s="705"/>
      <c r="E129" s="705"/>
      <c r="F129" s="705"/>
      <c r="G129" s="705"/>
      <c r="H129" s="705"/>
      <c r="I129" s="705"/>
      <c r="J129" s="705"/>
      <c r="K129" s="705"/>
      <c r="L129" s="705"/>
      <c r="M129" s="706"/>
    </row>
    <row r="130" spans="1:13" x14ac:dyDescent="0.3">
      <c r="A130" s="715" t="s">
        <v>338</v>
      </c>
      <c r="B130" s="713"/>
      <c r="C130" s="713"/>
      <c r="D130" s="713"/>
      <c r="E130" s="713"/>
      <c r="F130" s="713"/>
      <c r="G130" s="713"/>
      <c r="H130" s="713"/>
      <c r="I130" s="713"/>
      <c r="J130" s="713"/>
      <c r="K130" s="713"/>
      <c r="L130" s="713"/>
      <c r="M130" s="714"/>
    </row>
    <row r="131" spans="1:13" x14ac:dyDescent="0.3">
      <c r="A131" s="715" t="s">
        <v>341</v>
      </c>
      <c r="B131" s="713"/>
      <c r="C131" s="713"/>
      <c r="D131" s="713"/>
      <c r="E131" s="713"/>
      <c r="F131" s="713"/>
      <c r="G131" s="713"/>
      <c r="H131" s="713"/>
      <c r="I131" s="713"/>
      <c r="J131" s="713"/>
      <c r="K131" s="713"/>
      <c r="L131" s="713"/>
      <c r="M131" s="714"/>
    </row>
    <row r="132" spans="1:13" x14ac:dyDescent="0.3">
      <c r="A132" s="715" t="s">
        <v>339</v>
      </c>
      <c r="B132" s="713"/>
      <c r="C132" s="713"/>
      <c r="D132" s="713"/>
      <c r="E132" s="713"/>
      <c r="F132" s="713"/>
      <c r="G132" s="713"/>
      <c r="H132" s="713"/>
      <c r="I132" s="713"/>
      <c r="J132" s="713"/>
      <c r="K132" s="713"/>
      <c r="L132" s="713"/>
      <c r="M132" s="714"/>
    </row>
    <row r="133" spans="1:13" x14ac:dyDescent="0.3">
      <c r="A133" s="715" t="s">
        <v>340</v>
      </c>
      <c r="B133" s="713"/>
      <c r="C133" s="713"/>
      <c r="D133" s="713"/>
      <c r="E133" s="713"/>
      <c r="F133" s="713"/>
      <c r="G133" s="713"/>
      <c r="H133" s="713"/>
      <c r="I133" s="713"/>
      <c r="J133" s="713"/>
      <c r="K133" s="713"/>
      <c r="L133" s="713"/>
      <c r="M133" s="714"/>
    </row>
    <row r="134" spans="1:13" x14ac:dyDescent="0.3">
      <c r="A134" s="722" t="s">
        <v>477</v>
      </c>
      <c r="B134" s="723"/>
      <c r="C134" s="723"/>
      <c r="D134" s="723"/>
      <c r="E134" s="723"/>
      <c r="F134" s="723"/>
      <c r="G134" s="723"/>
      <c r="H134" s="723"/>
      <c r="I134" s="723"/>
      <c r="J134" s="723"/>
      <c r="K134" s="723"/>
      <c r="L134" s="723"/>
      <c r="M134" s="724"/>
    </row>
    <row r="135" spans="1:13" x14ac:dyDescent="0.3">
      <c r="A135" s="722" t="s">
        <v>406</v>
      </c>
      <c r="B135" s="723"/>
      <c r="C135" s="723"/>
      <c r="D135" s="723"/>
      <c r="E135" s="723"/>
      <c r="F135" s="723"/>
      <c r="G135" s="723"/>
      <c r="H135" s="723"/>
      <c r="I135" s="723"/>
      <c r="J135" s="723"/>
      <c r="K135" s="723"/>
      <c r="L135" s="723"/>
      <c r="M135" s="724"/>
    </row>
    <row r="136" spans="1:13" x14ac:dyDescent="0.3">
      <c r="A136" s="722" t="s">
        <v>408</v>
      </c>
      <c r="B136" s="723"/>
      <c r="C136" s="723"/>
      <c r="D136" s="723"/>
      <c r="E136" s="723"/>
      <c r="F136" s="723"/>
      <c r="G136" s="723"/>
      <c r="H136" s="723"/>
      <c r="I136" s="723"/>
      <c r="J136" s="723"/>
      <c r="K136" s="723"/>
      <c r="L136" s="723"/>
      <c r="M136" s="724"/>
    </row>
    <row r="137" spans="1:13" x14ac:dyDescent="0.3">
      <c r="A137" s="722" t="s">
        <v>407</v>
      </c>
      <c r="B137" s="723"/>
      <c r="C137" s="723"/>
      <c r="D137" s="723"/>
      <c r="E137" s="723"/>
      <c r="F137" s="723"/>
      <c r="G137" s="723"/>
      <c r="H137" s="723"/>
      <c r="I137" s="723"/>
      <c r="J137" s="723"/>
      <c r="K137" s="723"/>
      <c r="L137" s="723"/>
      <c r="M137" s="724"/>
    </row>
    <row r="138" spans="1:13" x14ac:dyDescent="0.3">
      <c r="A138" s="704" t="s">
        <v>546</v>
      </c>
      <c r="B138" s="705"/>
      <c r="C138" s="705"/>
      <c r="D138" s="705"/>
      <c r="E138" s="705"/>
      <c r="F138" s="705"/>
      <c r="G138" s="705"/>
      <c r="H138" s="705"/>
      <c r="I138" s="705"/>
      <c r="J138" s="705"/>
      <c r="K138" s="705"/>
      <c r="L138" s="705"/>
      <c r="M138" s="706"/>
    </row>
    <row r="139" spans="1:13" x14ac:dyDescent="0.3">
      <c r="A139" s="704" t="s">
        <v>409</v>
      </c>
      <c r="B139" s="705"/>
      <c r="C139" s="705"/>
      <c r="D139" s="705"/>
      <c r="E139" s="705"/>
      <c r="F139" s="705"/>
      <c r="G139" s="705"/>
      <c r="H139" s="705"/>
      <c r="I139" s="705"/>
      <c r="J139" s="705"/>
      <c r="K139" s="705"/>
      <c r="L139" s="705"/>
      <c r="M139" s="706"/>
    </row>
    <row r="140" spans="1:13" x14ac:dyDescent="0.3">
      <c r="A140" s="715" t="s">
        <v>342</v>
      </c>
      <c r="B140" s="713"/>
      <c r="C140" s="713"/>
      <c r="D140" s="713"/>
      <c r="E140" s="713"/>
      <c r="F140" s="713"/>
      <c r="G140" s="713"/>
      <c r="H140" s="713"/>
      <c r="I140" s="713"/>
      <c r="J140" s="713"/>
      <c r="K140" s="713"/>
      <c r="L140" s="713"/>
      <c r="M140" s="714"/>
    </row>
    <row r="141" spans="1:13" x14ac:dyDescent="0.3">
      <c r="A141" s="715" t="s">
        <v>410</v>
      </c>
      <c r="B141" s="713"/>
      <c r="C141" s="713"/>
      <c r="D141" s="713"/>
      <c r="E141" s="713"/>
      <c r="F141" s="713"/>
      <c r="G141" s="713"/>
      <c r="H141" s="713"/>
      <c r="I141" s="713"/>
      <c r="J141" s="713"/>
      <c r="K141" s="713"/>
      <c r="L141" s="713"/>
      <c r="M141" s="714"/>
    </row>
    <row r="142" spans="1:13" x14ac:dyDescent="0.3">
      <c r="A142" s="715" t="s">
        <v>411</v>
      </c>
      <c r="B142" s="713"/>
      <c r="C142" s="713"/>
      <c r="D142" s="713"/>
      <c r="E142" s="713"/>
      <c r="F142" s="713"/>
      <c r="G142" s="713"/>
      <c r="H142" s="713"/>
      <c r="I142" s="713"/>
      <c r="J142" s="713"/>
      <c r="K142" s="713"/>
      <c r="L142" s="713"/>
      <c r="M142" s="714"/>
    </row>
    <row r="143" spans="1:13" x14ac:dyDescent="0.3">
      <c r="A143" s="704" t="s">
        <v>485</v>
      </c>
      <c r="B143" s="705"/>
      <c r="C143" s="705"/>
      <c r="D143" s="705"/>
      <c r="E143" s="705"/>
      <c r="F143" s="705"/>
      <c r="G143" s="705"/>
      <c r="H143" s="705"/>
      <c r="I143" s="705"/>
      <c r="J143" s="705"/>
      <c r="K143" s="705"/>
      <c r="L143" s="705"/>
      <c r="M143" s="706"/>
    </row>
    <row r="144" spans="1:13" x14ac:dyDescent="0.3">
      <c r="A144" s="704" t="s">
        <v>416</v>
      </c>
      <c r="B144" s="705"/>
      <c r="C144" s="705"/>
      <c r="D144" s="705"/>
      <c r="E144" s="705"/>
      <c r="F144" s="705"/>
      <c r="G144" s="705"/>
      <c r="H144" s="705"/>
      <c r="I144" s="705"/>
      <c r="J144" s="705"/>
      <c r="K144" s="705"/>
      <c r="L144" s="705"/>
      <c r="M144" s="706"/>
    </row>
    <row r="145" spans="1:13" x14ac:dyDescent="0.3">
      <c r="A145" s="704" t="s">
        <v>484</v>
      </c>
      <c r="B145" s="705"/>
      <c r="C145" s="705"/>
      <c r="D145" s="705"/>
      <c r="E145" s="705"/>
      <c r="F145" s="705"/>
      <c r="G145" s="705"/>
      <c r="H145" s="705"/>
      <c r="I145" s="705"/>
      <c r="J145" s="705"/>
      <c r="K145" s="705"/>
      <c r="L145" s="705"/>
      <c r="M145" s="706"/>
    </row>
    <row r="146" spans="1:13" x14ac:dyDescent="0.3">
      <c r="A146" s="722" t="s">
        <v>412</v>
      </c>
      <c r="B146" s="723"/>
      <c r="C146" s="723"/>
      <c r="D146" s="723"/>
      <c r="E146" s="723"/>
      <c r="F146" s="723"/>
      <c r="G146" s="723"/>
      <c r="H146" s="723"/>
      <c r="I146" s="723"/>
      <c r="J146" s="723"/>
      <c r="K146" s="723"/>
      <c r="L146" s="723"/>
      <c r="M146" s="724"/>
    </row>
    <row r="147" spans="1:13" x14ac:dyDescent="0.3">
      <c r="A147" s="722" t="s">
        <v>549</v>
      </c>
      <c r="B147" s="723"/>
      <c r="C147" s="723"/>
      <c r="D147" s="723"/>
      <c r="E147" s="723"/>
      <c r="F147" s="723"/>
      <c r="G147" s="723"/>
      <c r="H147" s="723"/>
      <c r="I147" s="723"/>
      <c r="J147" s="723"/>
      <c r="K147" s="723"/>
      <c r="L147" s="723"/>
      <c r="M147" s="724"/>
    </row>
    <row r="148" spans="1:13" x14ac:dyDescent="0.3">
      <c r="A148" s="712"/>
      <c r="B148" s="713"/>
      <c r="C148" s="713"/>
      <c r="D148" s="713"/>
      <c r="E148" s="713"/>
      <c r="F148" s="713"/>
      <c r="G148" s="713"/>
      <c r="H148" s="713"/>
      <c r="I148" s="713"/>
      <c r="J148" s="713"/>
      <c r="K148" s="713"/>
      <c r="L148" s="713"/>
      <c r="M148" s="714"/>
    </row>
    <row r="149" spans="1:13" x14ac:dyDescent="0.3">
      <c r="A149" s="715"/>
      <c r="B149" s="713"/>
      <c r="C149" s="713"/>
      <c r="D149" s="713"/>
      <c r="E149" s="713"/>
      <c r="F149" s="713"/>
      <c r="G149" s="713"/>
      <c r="H149" s="713"/>
      <c r="I149" s="713"/>
      <c r="J149" s="713"/>
      <c r="K149" s="713"/>
      <c r="L149" s="713"/>
      <c r="M149" s="714"/>
    </row>
    <row r="150" spans="1:13" x14ac:dyDescent="0.3">
      <c r="A150" s="704"/>
      <c r="B150" s="705"/>
      <c r="C150" s="705"/>
      <c r="D150" s="705"/>
      <c r="E150" s="705"/>
      <c r="F150" s="705"/>
      <c r="G150" s="705"/>
      <c r="H150" s="705"/>
      <c r="I150" s="705"/>
      <c r="J150" s="705"/>
      <c r="K150" s="705"/>
      <c r="L150" s="705"/>
      <c r="M150" s="706"/>
    </row>
    <row r="151" spans="1:13" x14ac:dyDescent="0.3">
      <c r="A151" s="704"/>
      <c r="B151" s="705"/>
      <c r="C151" s="705"/>
      <c r="D151" s="705"/>
      <c r="E151" s="705"/>
      <c r="F151" s="705"/>
      <c r="G151" s="705"/>
      <c r="H151" s="705"/>
      <c r="I151" s="705"/>
      <c r="J151" s="705"/>
      <c r="K151" s="705"/>
      <c r="L151" s="705"/>
      <c r="M151" s="706"/>
    </row>
    <row r="152" spans="1:13" ht="21" x14ac:dyDescent="0.35">
      <c r="A152" s="707" t="s">
        <v>418</v>
      </c>
      <c r="B152" s="337"/>
      <c r="C152" s="337"/>
      <c r="D152" s="337"/>
      <c r="E152" s="337"/>
      <c r="F152" s="337"/>
      <c r="G152" s="337"/>
      <c r="H152" s="337"/>
      <c r="I152" s="337"/>
      <c r="J152" s="337"/>
      <c r="K152" s="337"/>
      <c r="L152" s="337"/>
      <c r="M152" s="708"/>
    </row>
    <row r="153" spans="1:13" ht="21" x14ac:dyDescent="0.35">
      <c r="A153" s="707" t="s">
        <v>336</v>
      </c>
      <c r="B153" s="337"/>
      <c r="C153" s="337"/>
      <c r="D153" s="337"/>
      <c r="E153" s="337"/>
      <c r="F153" s="337"/>
      <c r="G153" s="709" t="str">
        <f>Дог.!M7</f>
        <v>=D7</v>
      </c>
      <c r="H153" s="709"/>
      <c r="I153" s="710" t="s">
        <v>419</v>
      </c>
      <c r="J153" s="710"/>
      <c r="K153" s="710"/>
      <c r="L153" s="710"/>
      <c r="M153" s="711"/>
    </row>
    <row r="154" spans="1:13" ht="21" x14ac:dyDescent="0.35">
      <c r="A154" s="707" t="s">
        <v>796</v>
      </c>
      <c r="B154" s="337"/>
      <c r="C154" s="337"/>
      <c r="D154" s="337"/>
      <c r="E154" s="337"/>
      <c r="F154" s="337"/>
      <c r="G154" s="337"/>
      <c r="H154" s="337"/>
      <c r="I154" s="337"/>
      <c r="J154" s="337"/>
      <c r="K154" s="337"/>
      <c r="L154" s="337"/>
      <c r="M154" s="708"/>
    </row>
    <row r="155" spans="1:13" x14ac:dyDescent="0.3">
      <c r="A155" s="167"/>
      <c r="B155" s="131"/>
      <c r="C155" s="131"/>
      <c r="D155" s="131"/>
      <c r="E155" s="131"/>
      <c r="F155" s="131"/>
      <c r="G155" s="131"/>
      <c r="H155" s="131"/>
      <c r="I155" s="131"/>
      <c r="J155" s="131"/>
      <c r="K155" s="131"/>
      <c r="L155" s="131"/>
      <c r="M155" s="168"/>
    </row>
    <row r="156" spans="1:13" x14ac:dyDescent="0.3">
      <c r="A156" s="155"/>
      <c r="C156" s="136"/>
      <c r="D156" s="131"/>
      <c r="M156" s="134"/>
    </row>
    <row r="157" spans="1:13" x14ac:dyDescent="0.3">
      <c r="A157" s="155"/>
      <c r="M157" s="134"/>
    </row>
    <row r="158" spans="1:13" x14ac:dyDescent="0.3">
      <c r="A158" s="155"/>
      <c r="B158" s="130" t="s">
        <v>78</v>
      </c>
      <c r="C158" s="725">
        <f ca="1">F119</f>
        <v>45982</v>
      </c>
      <c r="D158" s="725"/>
      <c r="G158" s="288" t="str">
        <f>G95</f>
        <v>Зинченко М.А.</v>
      </c>
      <c r="H158" s="288"/>
      <c r="I158" s="288"/>
      <c r="J158" s="726"/>
      <c r="K158" s="726"/>
      <c r="L158" s="726"/>
      <c r="M158" s="727"/>
    </row>
    <row r="159" spans="1:13" x14ac:dyDescent="0.3">
      <c r="A159" s="155"/>
      <c r="J159" s="716" t="s">
        <v>330</v>
      </c>
      <c r="K159" s="716"/>
      <c r="L159" s="716"/>
      <c r="M159" s="717"/>
    </row>
    <row r="160" spans="1:13" x14ac:dyDescent="0.3">
      <c r="A160" s="155"/>
      <c r="M160" s="134"/>
    </row>
    <row r="161" spans="1:13" x14ac:dyDescent="0.3">
      <c r="A161" s="155"/>
      <c r="M161" s="134"/>
    </row>
    <row r="162" spans="1:13" ht="19.5" thickBot="1" x14ac:dyDescent="0.35">
      <c r="A162" s="162"/>
      <c r="B162" s="163"/>
      <c r="C162" s="163"/>
      <c r="D162" s="163"/>
      <c r="E162" s="163"/>
      <c r="F162" s="163"/>
      <c r="G162" s="163"/>
      <c r="H162" s="163"/>
      <c r="I162" s="163"/>
      <c r="J162" s="163"/>
      <c r="K162" s="163"/>
      <c r="L162" s="163"/>
      <c r="M162" s="164"/>
    </row>
  </sheetData>
  <mergeCells count="150">
    <mergeCell ref="J159:M159"/>
    <mergeCell ref="O5:W8"/>
    <mergeCell ref="O54:W57"/>
    <mergeCell ref="O104:W107"/>
    <mergeCell ref="A153:F153"/>
    <mergeCell ref="G153:H153"/>
    <mergeCell ref="I153:M153"/>
    <mergeCell ref="A154:M154"/>
    <mergeCell ref="C158:D158"/>
    <mergeCell ref="G158:I158"/>
    <mergeCell ref="J158:M158"/>
    <mergeCell ref="A148:M148"/>
    <mergeCell ref="A149:M149"/>
    <mergeCell ref="A150:M150"/>
    <mergeCell ref="A151:M151"/>
    <mergeCell ref="A152:M152"/>
    <mergeCell ref="A146:M146"/>
    <mergeCell ref="A147:M147"/>
    <mergeCell ref="A140:M140"/>
    <mergeCell ref="A141:M141"/>
    <mergeCell ref="A142:M142"/>
    <mergeCell ref="A143:M143"/>
    <mergeCell ref="A144:M144"/>
    <mergeCell ref="A145:M145"/>
    <mergeCell ref="A134:M134"/>
    <mergeCell ref="A135:M135"/>
    <mergeCell ref="A136:M136"/>
    <mergeCell ref="A137:M137"/>
    <mergeCell ref="A138:M138"/>
    <mergeCell ref="A139:M139"/>
    <mergeCell ref="A128:M128"/>
    <mergeCell ref="A129:M129"/>
    <mergeCell ref="A130:M130"/>
    <mergeCell ref="A131:M131"/>
    <mergeCell ref="A132:M132"/>
    <mergeCell ref="A133:M133"/>
    <mergeCell ref="A122:M122"/>
    <mergeCell ref="A123:M123"/>
    <mergeCell ref="A124:M124"/>
    <mergeCell ref="A125:M125"/>
    <mergeCell ref="A126:M126"/>
    <mergeCell ref="A127:M127"/>
    <mergeCell ref="A119:B119"/>
    <mergeCell ref="C119:E119"/>
    <mergeCell ref="G119:M119"/>
    <mergeCell ref="A120:M120"/>
    <mergeCell ref="A121:B121"/>
    <mergeCell ref="C121:D121"/>
    <mergeCell ref="A112:F112"/>
    <mergeCell ref="A113:M113"/>
    <mergeCell ref="A114:M114"/>
    <mergeCell ref="A117:M117"/>
    <mergeCell ref="A118:M118"/>
    <mergeCell ref="H101:M101"/>
    <mergeCell ref="J102:M102"/>
    <mergeCell ref="J103:M103"/>
    <mergeCell ref="J104:M104"/>
    <mergeCell ref="A108:M108"/>
    <mergeCell ref="D110:E110"/>
    <mergeCell ref="F110:J110"/>
    <mergeCell ref="A115:M115"/>
    <mergeCell ref="A116:B116"/>
    <mergeCell ref="A89:M89"/>
    <mergeCell ref="A91:M91"/>
    <mergeCell ref="C95:D95"/>
    <mergeCell ref="G95:I95"/>
    <mergeCell ref="J95:M95"/>
    <mergeCell ref="J96:M96"/>
    <mergeCell ref="A83:G83"/>
    <mergeCell ref="A84:M84"/>
    <mergeCell ref="A85:M85"/>
    <mergeCell ref="A86:M86"/>
    <mergeCell ref="A87:M87"/>
    <mergeCell ref="A88:M88"/>
    <mergeCell ref="A77:M77"/>
    <mergeCell ref="A78:M78"/>
    <mergeCell ref="A79:M79"/>
    <mergeCell ref="A80:M80"/>
    <mergeCell ref="A81:M81"/>
    <mergeCell ref="A82:M82"/>
    <mergeCell ref="A65:M65"/>
    <mergeCell ref="A71:M71"/>
    <mergeCell ref="A73:B73"/>
    <mergeCell ref="C73:D73"/>
    <mergeCell ref="E73:F73"/>
    <mergeCell ref="A75:B75"/>
    <mergeCell ref="C75:D75"/>
    <mergeCell ref="E75:M75"/>
    <mergeCell ref="A67:M67"/>
    <mergeCell ref="A68:M68"/>
    <mergeCell ref="A69:B69"/>
    <mergeCell ref="C69:E69"/>
    <mergeCell ref="G69:M69"/>
    <mergeCell ref="A70:M70"/>
    <mergeCell ref="A66:B66"/>
    <mergeCell ref="A72:M72"/>
    <mergeCell ref="D60:E60"/>
    <mergeCell ref="F60:J60"/>
    <mergeCell ref="A62:F62"/>
    <mergeCell ref="A63:M63"/>
    <mergeCell ref="A64:M64"/>
    <mergeCell ref="J46:M46"/>
    <mergeCell ref="H51:M51"/>
    <mergeCell ref="J52:M52"/>
    <mergeCell ref="J53:M53"/>
    <mergeCell ref="J54:M54"/>
    <mergeCell ref="A58:M58"/>
    <mergeCell ref="A43:M43"/>
    <mergeCell ref="C45:D45"/>
    <mergeCell ref="G45:I45"/>
    <mergeCell ref="J45:M45"/>
    <mergeCell ref="A28:M28"/>
    <mergeCell ref="A29:M29"/>
    <mergeCell ref="A30:M30"/>
    <mergeCell ref="A31:M31"/>
    <mergeCell ref="A36:M36"/>
    <mergeCell ref="A37:M37"/>
    <mergeCell ref="A32:M32"/>
    <mergeCell ref="A33:M33"/>
    <mergeCell ref="A34:M34"/>
    <mergeCell ref="A35:M35"/>
    <mergeCell ref="A40:M40"/>
    <mergeCell ref="A41:M41"/>
    <mergeCell ref="H2:M2"/>
    <mergeCell ref="J3:M3"/>
    <mergeCell ref="J4:M4"/>
    <mergeCell ref="J5:M5"/>
    <mergeCell ref="A9:M9"/>
    <mergeCell ref="D11:E11"/>
    <mergeCell ref="F11:J11"/>
    <mergeCell ref="A17:B17"/>
    <mergeCell ref="A16:L16"/>
    <mergeCell ref="A13:F13"/>
    <mergeCell ref="A14:M14"/>
    <mergeCell ref="A15:M15"/>
    <mergeCell ref="A18:M18"/>
    <mergeCell ref="A19:M19"/>
    <mergeCell ref="A23:B23"/>
    <mergeCell ref="C23:D23"/>
    <mergeCell ref="E23:M23"/>
    <mergeCell ref="A25:M25"/>
    <mergeCell ref="A26:M26"/>
    <mergeCell ref="A27:M27"/>
    <mergeCell ref="A20:B20"/>
    <mergeCell ref="C20:E20"/>
    <mergeCell ref="G20:M20"/>
    <mergeCell ref="A21:C21"/>
    <mergeCell ref="D21:E21"/>
    <mergeCell ref="D22:H22"/>
    <mergeCell ref="I22:L22"/>
  </mergeCells>
  <pageMargins left="0.7" right="0.7" top="0.75" bottom="0.75" header="0.3" footer="0.3"/>
  <pageSetup paperSize="9" scale="35" fitToHeight="0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A0F89-9DD4-42AD-AA07-9C67ADA389B7}">
  <sheetPr>
    <pageSetUpPr fitToPage="1"/>
  </sheetPr>
  <dimension ref="A1:E42"/>
  <sheetViews>
    <sheetView topLeftCell="A7" workbookViewId="0">
      <selection activeCell="F35" sqref="F35"/>
    </sheetView>
  </sheetViews>
  <sheetFormatPr defaultRowHeight="15" x14ac:dyDescent="0.25"/>
  <cols>
    <col min="1" max="1" width="5.28515625" customWidth="1"/>
    <col min="2" max="2" width="31.85546875" customWidth="1"/>
    <col min="3" max="3" width="28.85546875" customWidth="1"/>
    <col min="4" max="4" width="28" customWidth="1"/>
    <col min="5" max="5" width="46.42578125" customWidth="1"/>
  </cols>
  <sheetData>
    <row r="1" spans="1:4" x14ac:dyDescent="0.25">
      <c r="A1" s="236">
        <v>1</v>
      </c>
      <c r="B1" s="237" t="s">
        <v>671</v>
      </c>
      <c r="C1" s="767" t="str">
        <f>Дог.!A18</f>
        <v>{{CLIENT_FULLNAME}}</v>
      </c>
      <c r="D1" s="768"/>
    </row>
    <row r="2" spans="1:4" x14ac:dyDescent="0.25">
      <c r="A2" s="238">
        <v>2</v>
      </c>
      <c r="B2" s="23" t="s">
        <v>672</v>
      </c>
      <c r="C2" s="769" t="s">
        <v>670</v>
      </c>
      <c r="D2" s="770"/>
    </row>
    <row r="3" spans="1:4" x14ac:dyDescent="0.25">
      <c r="A3" s="238">
        <v>3</v>
      </c>
      <c r="B3" s="23" t="s">
        <v>673</v>
      </c>
      <c r="C3" s="239" t="str">
        <f>Дог.!A23</f>
        <v>ХХХХХ</v>
      </c>
      <c r="D3" s="240"/>
    </row>
    <row r="4" spans="1:4" x14ac:dyDescent="0.25">
      <c r="A4" s="238">
        <v>4</v>
      </c>
      <c r="B4" s="23" t="s">
        <v>26</v>
      </c>
      <c r="C4" s="771" t="str">
        <f>Дог.!D7</f>
        <v>{{CLIENT_PHONE}}</v>
      </c>
      <c r="D4" s="772"/>
    </row>
    <row r="5" spans="1:4" x14ac:dyDescent="0.25">
      <c r="A5" s="238">
        <v>5</v>
      </c>
      <c r="B5" s="23" t="s">
        <v>674</v>
      </c>
      <c r="C5" s="769"/>
      <c r="D5" s="770"/>
    </row>
    <row r="6" spans="1:4" x14ac:dyDescent="0.25">
      <c r="A6" s="238">
        <v>6</v>
      </c>
      <c r="B6" s="23" t="s">
        <v>675</v>
      </c>
      <c r="C6" s="23" t="str">
        <f>Дог.!C20</f>
        <v>Чуйская область г. Бишкек</v>
      </c>
      <c r="D6" s="240" t="str">
        <f>Дог.!J20</f>
        <v>ул. ХХХХХ</v>
      </c>
    </row>
    <row r="7" spans="1:4" x14ac:dyDescent="0.25">
      <c r="A7" s="238">
        <v>7</v>
      </c>
      <c r="B7" s="23" t="s">
        <v>676</v>
      </c>
      <c r="C7" s="23" t="str">
        <f>Дог.!A21</f>
        <v>Чуйская область г. Бишкек</v>
      </c>
      <c r="D7" s="240" t="str">
        <f>Дог.!I21</f>
        <v>ул. ХХХХХ</v>
      </c>
    </row>
    <row r="8" spans="1:4" x14ac:dyDescent="0.25">
      <c r="A8" s="238">
        <v>8</v>
      </c>
      <c r="B8" s="23" t="s">
        <v>677</v>
      </c>
      <c r="C8" s="23" t="str">
        <f>Дог.!A12</f>
        <v>{{TOOL_NAME}}</v>
      </c>
      <c r="D8" s="240"/>
    </row>
    <row r="9" spans="1:4" x14ac:dyDescent="0.25">
      <c r="A9" s="238">
        <v>9</v>
      </c>
      <c r="B9" s="23" t="s">
        <v>678</v>
      </c>
      <c r="C9" s="239">
        <f ca="1">'Акт расч'!F21</f>
        <v>45982</v>
      </c>
      <c r="D9" s="240"/>
    </row>
    <row r="10" spans="1:4" x14ac:dyDescent="0.25">
      <c r="A10" s="238">
        <v>10</v>
      </c>
      <c r="B10" s="23" t="s">
        <v>679</v>
      </c>
      <c r="C10" s="23"/>
      <c r="D10" s="240"/>
    </row>
    <row r="11" spans="1:4" x14ac:dyDescent="0.25">
      <c r="A11" s="238">
        <v>11</v>
      </c>
      <c r="B11" s="23" t="s">
        <v>680</v>
      </c>
      <c r="C11" s="239">
        <f ca="1">'Пр №1'!J21</f>
        <v>45982</v>
      </c>
      <c r="D11" s="241">
        <f ca="1">'Акт расч'!P48</f>
        <v>-3000</v>
      </c>
    </row>
    <row r="12" spans="1:4" x14ac:dyDescent="0.25">
      <c r="A12" s="238">
        <v>12</v>
      </c>
      <c r="B12" s="23" t="s">
        <v>689</v>
      </c>
      <c r="C12" s="23"/>
      <c r="D12" s="240"/>
    </row>
    <row r="13" spans="1:4" x14ac:dyDescent="0.25">
      <c r="A13" s="238"/>
      <c r="B13" s="23"/>
      <c r="C13" s="23"/>
      <c r="D13" s="240"/>
    </row>
    <row r="14" spans="1:4" x14ac:dyDescent="0.25">
      <c r="A14" s="238">
        <v>13</v>
      </c>
      <c r="B14" s="23" t="s">
        <v>681</v>
      </c>
      <c r="C14" s="23"/>
      <c r="D14" s="240"/>
    </row>
    <row r="15" spans="1:4" x14ac:dyDescent="0.25">
      <c r="A15" s="238"/>
      <c r="B15" s="23"/>
      <c r="C15" s="23"/>
      <c r="D15" s="240"/>
    </row>
    <row r="16" spans="1:4" x14ac:dyDescent="0.25">
      <c r="A16" s="238">
        <v>14</v>
      </c>
      <c r="B16" s="23" t="s">
        <v>682</v>
      </c>
      <c r="C16" s="23"/>
      <c r="D16" s="240"/>
    </row>
    <row r="17" spans="1:5" x14ac:dyDescent="0.25">
      <c r="A17" s="238">
        <v>15</v>
      </c>
      <c r="B17" s="23" t="s">
        <v>683</v>
      </c>
      <c r="C17" s="23"/>
      <c r="D17" s="240"/>
    </row>
    <row r="18" spans="1:5" x14ac:dyDescent="0.25">
      <c r="A18" s="238">
        <v>16</v>
      </c>
      <c r="B18" s="23" t="s">
        <v>684</v>
      </c>
      <c r="C18" s="23"/>
      <c r="D18" s="240"/>
    </row>
    <row r="19" spans="1:5" x14ac:dyDescent="0.25">
      <c r="A19" s="238">
        <v>17</v>
      </c>
      <c r="B19" s="23" t="s">
        <v>685</v>
      </c>
      <c r="C19" s="23"/>
      <c r="D19" s="240"/>
    </row>
    <row r="20" spans="1:5" x14ac:dyDescent="0.25">
      <c r="A20" s="238">
        <v>18</v>
      </c>
      <c r="B20" s="23" t="s">
        <v>686</v>
      </c>
      <c r="C20" s="23"/>
      <c r="D20" s="240"/>
    </row>
    <row r="21" spans="1:5" x14ac:dyDescent="0.25">
      <c r="A21" s="238">
        <v>19</v>
      </c>
      <c r="B21" s="23" t="s">
        <v>687</v>
      </c>
      <c r="C21" s="23" t="str">
        <f>Дог.!L8</f>
        <v>ул. Лермонтова д.№ 68</v>
      </c>
      <c r="D21" s="240"/>
    </row>
    <row r="22" spans="1:5" x14ac:dyDescent="0.25">
      <c r="A22" s="175"/>
      <c r="B22" s="242"/>
      <c r="D22" s="176"/>
    </row>
    <row r="23" spans="1:5" x14ac:dyDescent="0.25">
      <c r="A23" s="773" t="s">
        <v>690</v>
      </c>
      <c r="B23" s="774"/>
      <c r="D23" s="176"/>
    </row>
    <row r="24" spans="1:5" x14ac:dyDescent="0.25">
      <c r="A24" s="238" t="s">
        <v>688</v>
      </c>
      <c r="B24" t="str">
        <f>SUBSTITUTE(C1,CHAR(32),"")</f>
        <v>{{CLIENT_FULLNAME}}</v>
      </c>
      <c r="D24" s="176"/>
      <c r="E24" t="str">
        <f>C1</f>
        <v>{{CLIENT_FULLNAME}}</v>
      </c>
    </row>
    <row r="25" spans="1:5" x14ac:dyDescent="0.25">
      <c r="A25" s="238" t="s">
        <v>688</v>
      </c>
      <c r="B25" t="e">
        <f>SUBSTITUTE(E25,CHAR(32),"")</f>
        <v>#VALUE!</v>
      </c>
      <c r="D25" s="176"/>
      <c r="E25" t="e">
        <f>LEFT(E24,FIND(" ",E24,1)+1)&amp;"."&amp;MID(E24,FIND(" ",E24,FIND(" ",E24,1)+1)+1,1)&amp;"."</f>
        <v>#VALUE!</v>
      </c>
    </row>
    <row r="26" spans="1:5" x14ac:dyDescent="0.25">
      <c r="A26" s="238" t="s">
        <v>688</v>
      </c>
      <c r="B26" t="e">
        <f>SUBSTITUTE(E26,CHAR(32),"")</f>
        <v>#VALUE!</v>
      </c>
      <c r="D26" s="176"/>
      <c r="E26" t="e">
        <f>LEFT(E24,SEARCH(" ",E24,SEARCH(" ",E24)+1)-1)</f>
        <v>#VALUE!</v>
      </c>
    </row>
    <row r="27" spans="1:5" x14ac:dyDescent="0.25">
      <c r="A27" s="238" t="s">
        <v>688</v>
      </c>
      <c r="B27" t="e">
        <f>SUBSTITUTE(E27,CHAR(32),"")</f>
        <v>#VALUE!</v>
      </c>
      <c r="D27" s="176"/>
      <c r="E27" t="e">
        <f>MID(E26,SEARCH(" ",E26)+1,300)&amp;" "&amp;MID(E26,1,SEARCH(" ",E26))</f>
        <v>#VALUE!</v>
      </c>
    </row>
    <row r="28" spans="1:5" x14ac:dyDescent="0.25">
      <c r="A28" s="238" t="s">
        <v>688</v>
      </c>
      <c r="B28" t="e">
        <f>SUBSTITUTE(E28,CHAR(32),"")</f>
        <v>#VALUE!</v>
      </c>
      <c r="D28" s="176"/>
      <c r="E28" t="e">
        <f>TRIM(RIGHT(E24,LEN(E24)-SEARCH(" ",E24))&amp;" "&amp;LEFT(E24,SEARCH(" ",E24)-1))</f>
        <v>#VALUE!</v>
      </c>
    </row>
    <row r="29" spans="1:5" x14ac:dyDescent="0.25">
      <c r="A29" s="238" t="s">
        <v>688</v>
      </c>
      <c r="B29" t="e">
        <f>SUBSTITUTE(E29,CHAR(32),"")</f>
        <v>#VALUE!</v>
      </c>
      <c r="D29" s="176"/>
      <c r="E29" t="e">
        <f>MID(C1,SEARCH(" ",C1)+1,99)</f>
        <v>#VALUE!</v>
      </c>
    </row>
    <row r="30" spans="1:5" x14ac:dyDescent="0.25">
      <c r="A30" s="238" t="s">
        <v>688</v>
      </c>
      <c r="D30" s="176"/>
    </row>
    <row r="31" spans="1:5" x14ac:dyDescent="0.25">
      <c r="A31" s="238" t="s">
        <v>688</v>
      </c>
      <c r="D31" s="176"/>
    </row>
    <row r="32" spans="1:5" x14ac:dyDescent="0.25">
      <c r="A32" s="175"/>
      <c r="D32" s="176"/>
    </row>
    <row r="33" spans="1:4" x14ac:dyDescent="0.25">
      <c r="A33" s="175"/>
      <c r="D33" s="176"/>
    </row>
    <row r="34" spans="1:4" x14ac:dyDescent="0.25">
      <c r="A34" s="175"/>
      <c r="D34" s="176"/>
    </row>
    <row r="35" spans="1:4" x14ac:dyDescent="0.25">
      <c r="A35" s="175"/>
      <c r="D35" s="176"/>
    </row>
    <row r="36" spans="1:4" x14ac:dyDescent="0.25">
      <c r="A36" s="175"/>
      <c r="D36" s="176"/>
    </row>
    <row r="37" spans="1:4" x14ac:dyDescent="0.25">
      <c r="A37" s="175"/>
      <c r="D37" s="176"/>
    </row>
    <row r="38" spans="1:4" x14ac:dyDescent="0.25">
      <c r="A38" s="175"/>
      <c r="D38" s="176"/>
    </row>
    <row r="39" spans="1:4" x14ac:dyDescent="0.25">
      <c r="A39" s="175"/>
      <c r="D39" s="176"/>
    </row>
    <row r="40" spans="1:4" x14ac:dyDescent="0.25">
      <c r="A40" s="175"/>
      <c r="D40" s="176"/>
    </row>
    <row r="41" spans="1:4" x14ac:dyDescent="0.25">
      <c r="A41" s="175"/>
      <c r="D41" s="176"/>
    </row>
    <row r="42" spans="1:4" ht="15.75" thickBot="1" x14ac:dyDescent="0.3">
      <c r="A42" s="177"/>
      <c r="B42" s="178"/>
      <c r="C42" s="178"/>
      <c r="D42" s="180"/>
    </row>
  </sheetData>
  <mergeCells count="5">
    <mergeCell ref="C1:D1"/>
    <mergeCell ref="C2:D2"/>
    <mergeCell ref="C4:D4"/>
    <mergeCell ref="C5:D5"/>
    <mergeCell ref="A23:B23"/>
  </mergeCells>
  <pageMargins left="0.7" right="0.7" top="0.75" bottom="0.75" header="0.3" footer="0.3"/>
  <pageSetup paperSize="9" scale="93" fitToHeight="0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67"/>
  <sheetViews>
    <sheetView zoomScale="124" zoomScaleNormal="124" workbookViewId="0">
      <selection activeCell="G70" sqref="G70"/>
    </sheetView>
  </sheetViews>
  <sheetFormatPr defaultRowHeight="15.75" x14ac:dyDescent="0.25"/>
  <cols>
    <col min="1" max="1" width="4.85546875" style="72" customWidth="1"/>
    <col min="2" max="3" width="9.140625" style="72"/>
    <col min="4" max="4" width="9.5703125" style="72" bestFit="1" customWidth="1"/>
    <col min="5" max="5" width="9.7109375" style="72" customWidth="1"/>
    <col min="6" max="6" width="9.140625" style="72"/>
    <col min="7" max="7" width="11.5703125" style="72" customWidth="1"/>
    <col min="8" max="8" width="9.85546875" style="72" customWidth="1"/>
    <col min="9" max="9" width="19.5703125" style="72" customWidth="1"/>
    <col min="10" max="10" width="8.85546875" style="65" customWidth="1"/>
    <col min="11" max="13" width="9.140625" style="65"/>
    <col min="14" max="15" width="9.28515625" style="65" bestFit="1" customWidth="1"/>
    <col min="16" max="16" width="9.5703125" style="65" bestFit="1" customWidth="1"/>
    <col min="17" max="17" width="13.42578125" style="65" customWidth="1"/>
  </cols>
  <sheetData>
    <row r="1" spans="1:9" ht="16.5" thickBot="1" x14ac:dyDescent="0.3">
      <c r="A1" s="797" t="s">
        <v>600</v>
      </c>
      <c r="B1" s="798"/>
      <c r="C1" s="798"/>
      <c r="D1" s="798"/>
      <c r="E1" s="798"/>
      <c r="F1" s="798"/>
      <c r="G1" s="798"/>
      <c r="H1" s="798"/>
      <c r="I1" s="798"/>
    </row>
    <row r="2" spans="1:9" x14ac:dyDescent="0.25">
      <c r="A2" s="781"/>
      <c r="B2" s="520"/>
      <c r="C2" s="520"/>
      <c r="D2" s="520"/>
      <c r="E2" s="520"/>
      <c r="F2" s="520"/>
      <c r="G2" s="520"/>
      <c r="H2" s="520"/>
      <c r="I2" s="788"/>
    </row>
    <row r="3" spans="1:9" x14ac:dyDescent="0.25">
      <c r="A3" s="794" t="s">
        <v>246</v>
      </c>
      <c r="B3" s="795"/>
      <c r="C3" s="795"/>
      <c r="D3" s="795"/>
      <c r="E3" s="795"/>
      <c r="F3" s="795"/>
      <c r="G3" s="795"/>
      <c r="H3" s="795"/>
      <c r="I3" s="796"/>
    </row>
    <row r="4" spans="1:9" x14ac:dyDescent="0.25">
      <c r="A4" s="781" t="str">
        <f>Дог.!A18</f>
        <v>{{CLIENT_FULLNAME}}</v>
      </c>
      <c r="B4" s="520"/>
      <c r="C4" s="520"/>
      <c r="D4" s="520"/>
      <c r="E4" s="520"/>
      <c r="F4" s="782" t="str">
        <f>Дог.!A23</f>
        <v>ХХХХХ</v>
      </c>
      <c r="G4" s="520"/>
      <c r="H4" s="783" t="s">
        <v>240</v>
      </c>
      <c r="I4" s="784"/>
    </row>
    <row r="5" spans="1:9" x14ac:dyDescent="0.25">
      <c r="A5" s="785" t="s">
        <v>242</v>
      </c>
      <c r="B5" s="783"/>
      <c r="C5" s="783"/>
      <c r="D5" s="783"/>
      <c r="E5" s="783"/>
      <c r="F5" s="783"/>
      <c r="G5" s="783"/>
      <c r="H5" s="786">
        <f>'Акт прием'!N26</f>
        <v>35000</v>
      </c>
      <c r="I5" s="787"/>
    </row>
    <row r="6" spans="1:9" x14ac:dyDescent="0.25">
      <c r="A6" s="785" t="s">
        <v>247</v>
      </c>
      <c r="B6" s="783"/>
      <c r="C6" s="783"/>
      <c r="D6" s="783"/>
      <c r="E6" s="783"/>
      <c r="F6" s="783"/>
      <c r="G6" s="783"/>
      <c r="H6" s="783"/>
      <c r="I6" s="784"/>
    </row>
    <row r="7" spans="1:9" x14ac:dyDescent="0.25">
      <c r="A7" s="785" t="s">
        <v>243</v>
      </c>
      <c r="B7" s="783"/>
      <c r="C7" s="783"/>
      <c r="D7" s="783"/>
      <c r="E7" s="783"/>
      <c r="F7" s="783"/>
      <c r="G7" s="783"/>
      <c r="H7" s="783"/>
      <c r="I7" s="784"/>
    </row>
    <row r="8" spans="1:9" x14ac:dyDescent="0.25">
      <c r="A8" s="791" t="s">
        <v>556</v>
      </c>
      <c r="B8" s="792"/>
      <c r="C8" s="792"/>
      <c r="D8" s="792"/>
      <c r="E8" s="792"/>
      <c r="F8" s="792"/>
      <c r="G8" s="792"/>
      <c r="H8" s="792"/>
      <c r="I8" s="793"/>
    </row>
    <row r="9" spans="1:9" x14ac:dyDescent="0.25">
      <c r="A9" s="785" t="s">
        <v>244</v>
      </c>
      <c r="B9" s="783"/>
      <c r="C9" s="783"/>
      <c r="D9" s="783"/>
      <c r="E9" s="783"/>
      <c r="F9" s="783"/>
      <c r="G9" s="783"/>
      <c r="H9" s="783"/>
      <c r="I9" s="784"/>
    </row>
    <row r="10" spans="1:9" x14ac:dyDescent="0.25">
      <c r="A10" s="785" t="s">
        <v>245</v>
      </c>
      <c r="B10" s="783"/>
      <c r="C10" s="783"/>
      <c r="D10" s="783"/>
      <c r="E10" s="783"/>
      <c r="F10" s="783"/>
      <c r="G10" s="783"/>
      <c r="H10" s="783"/>
      <c r="I10" s="784"/>
    </row>
    <row r="11" spans="1:9" x14ac:dyDescent="0.25">
      <c r="A11" s="781" t="s">
        <v>241</v>
      </c>
      <c r="B11" s="520"/>
      <c r="C11" s="520"/>
      <c r="D11" s="520"/>
      <c r="E11" s="520"/>
      <c r="F11" s="520"/>
      <c r="G11" s="520"/>
      <c r="H11" s="520"/>
      <c r="I11" s="788"/>
    </row>
    <row r="12" spans="1:9" x14ac:dyDescent="0.25">
      <c r="A12" s="785"/>
      <c r="B12" s="783"/>
      <c r="C12" s="783"/>
      <c r="D12" s="783"/>
      <c r="E12" s="783"/>
      <c r="F12" s="783"/>
      <c r="G12" s="783"/>
      <c r="H12" s="783"/>
      <c r="I12" s="784"/>
    </row>
    <row r="13" spans="1:9" x14ac:dyDescent="0.25">
      <c r="A13" s="191"/>
      <c r="B13" s="192" t="s">
        <v>78</v>
      </c>
      <c r="C13" s="789">
        <f ca="1">Дог.!P11</f>
        <v>45982</v>
      </c>
      <c r="D13" s="790"/>
      <c r="E13" s="98"/>
      <c r="F13" s="98"/>
      <c r="G13" s="98"/>
      <c r="H13" s="98"/>
      <c r="I13" s="193"/>
    </row>
    <row r="14" spans="1:9" x14ac:dyDescent="0.25">
      <c r="A14" s="194"/>
      <c r="B14" s="73"/>
      <c r="C14" s="73"/>
      <c r="D14" s="775" t="s">
        <v>787</v>
      </c>
      <c r="E14" s="775"/>
      <c r="F14" s="775"/>
      <c r="G14" s="775"/>
      <c r="H14" s="70"/>
      <c r="I14" s="195"/>
    </row>
    <row r="15" spans="1:9" x14ac:dyDescent="0.25">
      <c r="A15" s="194"/>
      <c r="D15" s="65"/>
      <c r="E15" s="65"/>
      <c r="F15" s="65"/>
      <c r="G15" s="71"/>
      <c r="H15" s="776" t="s">
        <v>63</v>
      </c>
      <c r="I15" s="777"/>
    </row>
    <row r="16" spans="1:9" ht="16.5" thickBot="1" x14ac:dyDescent="0.3">
      <c r="A16" s="778"/>
      <c r="B16" s="779"/>
      <c r="C16" s="779"/>
      <c r="D16" s="779"/>
      <c r="E16" s="779"/>
      <c r="F16" s="779"/>
      <c r="G16" s="779"/>
      <c r="H16" s="779"/>
      <c r="I16" s="780"/>
    </row>
    <row r="17" spans="1:9" x14ac:dyDescent="0.25">
      <c r="A17" s="98"/>
      <c r="B17" s="98"/>
      <c r="C17" s="98"/>
      <c r="D17" s="98"/>
      <c r="E17" s="98"/>
      <c r="F17" s="98"/>
      <c r="G17" s="98"/>
      <c r="H17" s="98"/>
      <c r="I17" s="98"/>
    </row>
    <row r="18" spans="1:9" x14ac:dyDescent="0.25">
      <c r="A18" s="98"/>
      <c r="B18" s="98"/>
      <c r="C18" s="98"/>
      <c r="D18" s="98"/>
      <c r="E18" s="98"/>
      <c r="F18" s="98"/>
      <c r="G18" s="98"/>
      <c r="H18" s="98"/>
      <c r="I18" s="98"/>
    </row>
    <row r="19" spans="1:9" ht="16.5" thickBot="1" x14ac:dyDescent="0.3">
      <c r="A19" s="781" t="s">
        <v>599</v>
      </c>
      <c r="B19" s="520"/>
      <c r="C19" s="520"/>
      <c r="D19" s="520"/>
      <c r="E19" s="520"/>
      <c r="F19" s="520"/>
      <c r="G19" s="520"/>
      <c r="H19" s="520"/>
      <c r="I19" s="520"/>
    </row>
    <row r="20" spans="1:9" x14ac:dyDescent="0.25">
      <c r="A20" s="799" t="s">
        <v>557</v>
      </c>
      <c r="B20" s="800"/>
      <c r="C20" s="800"/>
      <c r="D20" s="800"/>
      <c r="E20" s="801" t="str">
        <f>Дог.!A14</f>
        <v>Зинченко Михаил Александрович</v>
      </c>
      <c r="F20" s="801"/>
      <c r="G20" s="801"/>
      <c r="H20" s="801"/>
      <c r="I20" s="196" t="s">
        <v>558</v>
      </c>
    </row>
    <row r="21" spans="1:9" x14ac:dyDescent="0.25">
      <c r="A21" s="794" t="s">
        <v>559</v>
      </c>
      <c r="B21" s="795"/>
      <c r="C21" s="795"/>
      <c r="D21" s="795"/>
      <c r="E21" s="795"/>
      <c r="F21" s="795"/>
      <c r="G21" s="795"/>
      <c r="H21" s="795"/>
      <c r="I21" s="796"/>
    </row>
    <row r="22" spans="1:9" x14ac:dyDescent="0.25">
      <c r="A22" s="794" t="s">
        <v>560</v>
      </c>
      <c r="B22" s="795"/>
      <c r="C22" s="795"/>
      <c r="D22" s="795"/>
      <c r="E22" s="795"/>
      <c r="F22" s="795"/>
      <c r="G22" s="795"/>
      <c r="H22" s="795"/>
      <c r="I22" s="796"/>
    </row>
    <row r="23" spans="1:9" x14ac:dyDescent="0.25">
      <c r="A23" s="794" t="s">
        <v>561</v>
      </c>
      <c r="B23" s="795"/>
      <c r="C23" s="795"/>
      <c r="D23" s="795"/>
      <c r="E23" s="795"/>
      <c r="F23" s="802" t="str">
        <f>Дог.!A18</f>
        <v>{{CLIENT_FULLNAME}}</v>
      </c>
      <c r="G23" s="802"/>
      <c r="H23" s="802"/>
      <c r="I23" s="803"/>
    </row>
    <row r="24" spans="1:9" x14ac:dyDescent="0.25">
      <c r="A24" s="804" t="str">
        <f>Дог.!A23</f>
        <v>ХХХХХ</v>
      </c>
      <c r="B24" s="802"/>
      <c r="C24" s="795" t="s">
        <v>562</v>
      </c>
      <c r="D24" s="795"/>
      <c r="E24" s="795"/>
      <c r="F24" s="795"/>
      <c r="G24" s="795"/>
      <c r="H24" s="795"/>
      <c r="I24" s="796"/>
    </row>
    <row r="25" spans="1:9" x14ac:dyDescent="0.25">
      <c r="A25" s="794" t="s">
        <v>563</v>
      </c>
      <c r="B25" s="795"/>
      <c r="C25" s="795"/>
      <c r="D25" s="795"/>
      <c r="E25" s="795"/>
      <c r="F25" s="795"/>
      <c r="G25" s="795"/>
      <c r="H25" s="795"/>
      <c r="I25" s="796"/>
    </row>
    <row r="26" spans="1:9" x14ac:dyDescent="0.25">
      <c r="A26" s="794" t="s">
        <v>564</v>
      </c>
      <c r="B26" s="795"/>
      <c r="C26" s="795"/>
      <c r="D26" s="795"/>
      <c r="E26" s="795"/>
      <c r="F26" s="795"/>
      <c r="G26" s="795"/>
      <c r="H26" s="795"/>
      <c r="I26" s="796"/>
    </row>
    <row r="27" spans="1:9" x14ac:dyDescent="0.25">
      <c r="A27" s="805" t="str">
        <f>F23</f>
        <v>{{CLIENT_FULLNAME}}</v>
      </c>
      <c r="B27" s="806"/>
      <c r="C27" s="806"/>
      <c r="D27" s="806"/>
      <c r="E27" s="806"/>
      <c r="F27" s="795" t="s">
        <v>565</v>
      </c>
      <c r="G27" s="795"/>
      <c r="H27" s="795"/>
      <c r="I27" s="796"/>
    </row>
    <row r="28" spans="1:9" x14ac:dyDescent="0.25">
      <c r="A28" s="794" t="s">
        <v>566</v>
      </c>
      <c r="B28" s="795"/>
      <c r="C28" s="795"/>
      <c r="D28" s="795"/>
      <c r="E28" s="795"/>
      <c r="F28" s="795"/>
      <c r="G28" s="795"/>
      <c r="H28" s="795"/>
      <c r="I28" s="796"/>
    </row>
    <row r="29" spans="1:9" x14ac:dyDescent="0.25">
      <c r="A29" s="794" t="s">
        <v>567</v>
      </c>
      <c r="B29" s="795"/>
      <c r="C29" s="795"/>
      <c r="D29" s="795"/>
      <c r="E29" s="795"/>
      <c r="F29" s="795"/>
      <c r="G29" s="795"/>
      <c r="H29" s="795"/>
      <c r="I29" s="796"/>
    </row>
    <row r="30" spans="1:9" x14ac:dyDescent="0.25">
      <c r="A30" s="794" t="s">
        <v>568</v>
      </c>
      <c r="B30" s="795"/>
      <c r="C30" s="795"/>
      <c r="D30" s="795"/>
      <c r="E30" s="795"/>
      <c r="F30" s="795"/>
      <c r="G30" s="795"/>
      <c r="H30" s="795"/>
      <c r="I30" s="796"/>
    </row>
    <row r="31" spans="1:9" x14ac:dyDescent="0.25">
      <c r="A31" s="794" t="s">
        <v>569</v>
      </c>
      <c r="B31" s="795"/>
      <c r="C31" s="782">
        <f ca="1">'Пр №1'!J21</f>
        <v>45982</v>
      </c>
      <c r="D31" s="520"/>
      <c r="E31" s="783" t="s">
        <v>570</v>
      </c>
      <c r="F31" s="783"/>
      <c r="G31" s="783"/>
      <c r="H31" s="783"/>
      <c r="I31" s="784"/>
    </row>
    <row r="32" spans="1:9" x14ac:dyDescent="0.25">
      <c r="A32" s="807" t="str">
        <f>A27</f>
        <v>{{CLIENT_FULLNAME}}</v>
      </c>
      <c r="B32" s="802"/>
      <c r="C32" s="802"/>
      <c r="D32" s="802"/>
      <c r="E32" s="802"/>
      <c r="F32" s="802"/>
      <c r="G32" s="190" t="str">
        <f>A24</f>
        <v>ХХХХХ</v>
      </c>
      <c r="H32" s="795" t="s">
        <v>571</v>
      </c>
      <c r="I32" s="796"/>
    </row>
    <row r="33" spans="1:9" x14ac:dyDescent="0.25">
      <c r="A33" s="794" t="s">
        <v>572</v>
      </c>
      <c r="B33" s="795"/>
      <c r="C33" s="795"/>
      <c r="D33" s="795"/>
      <c r="E33" s="795"/>
      <c r="F33" s="795"/>
      <c r="G33" s="795"/>
      <c r="H33" s="795"/>
      <c r="I33" s="796"/>
    </row>
    <row r="34" spans="1:9" x14ac:dyDescent="0.25">
      <c r="A34" s="794" t="s">
        <v>573</v>
      </c>
      <c r="B34" s="795"/>
      <c r="C34" s="795"/>
      <c r="D34" s="795"/>
      <c r="E34" s="783"/>
      <c r="F34" s="783"/>
      <c r="G34" s="783"/>
      <c r="H34" s="783"/>
      <c r="I34" s="784"/>
    </row>
    <row r="35" spans="1:9" x14ac:dyDescent="0.25">
      <c r="A35" s="794" t="s">
        <v>574</v>
      </c>
      <c r="B35" s="795"/>
      <c r="C35" s="782">
        <f ca="1">C31</f>
        <v>45982</v>
      </c>
      <c r="D35" s="520"/>
      <c r="E35" s="795" t="s">
        <v>575</v>
      </c>
      <c r="F35" s="795"/>
      <c r="G35" s="795"/>
      <c r="H35" s="795"/>
      <c r="I35" s="796"/>
    </row>
    <row r="36" spans="1:9" x14ac:dyDescent="0.25">
      <c r="A36" s="794" t="s">
        <v>576</v>
      </c>
      <c r="B36" s="795"/>
      <c r="C36" s="795"/>
      <c r="D36" s="795"/>
      <c r="E36" s="795"/>
      <c r="F36" s="795"/>
      <c r="G36" s="795"/>
      <c r="H36" s="795"/>
      <c r="I36" s="197">
        <f ca="1">'Акт расч'!P48</f>
        <v>-3000</v>
      </c>
    </row>
    <row r="37" spans="1:9" x14ac:dyDescent="0.25">
      <c r="A37" s="781" t="e">
        <f ca="1">[2]!ЧислоПрописьюВалюта(I36,2)</f>
        <v>#NAME?</v>
      </c>
      <c r="B37" s="520"/>
      <c r="C37" s="520"/>
      <c r="D37" s="520"/>
      <c r="E37" s="520"/>
      <c r="F37" s="520"/>
      <c r="G37" s="520"/>
      <c r="H37" s="520"/>
      <c r="I37" s="788"/>
    </row>
    <row r="38" spans="1:9" x14ac:dyDescent="0.25">
      <c r="A38" s="794" t="s">
        <v>577</v>
      </c>
      <c r="B38" s="795"/>
      <c r="C38" s="795"/>
      <c r="D38" s="795"/>
      <c r="E38" s="795"/>
      <c r="F38" s="795"/>
      <c r="G38" s="795"/>
      <c r="H38" s="795"/>
      <c r="I38" s="796"/>
    </row>
    <row r="39" spans="1:9" x14ac:dyDescent="0.25">
      <c r="A39" s="794" t="s">
        <v>578</v>
      </c>
      <c r="B39" s="795"/>
      <c r="C39" s="795"/>
      <c r="D39" s="795"/>
      <c r="E39" s="795"/>
      <c r="F39" s="795"/>
      <c r="G39" s="795"/>
      <c r="H39" s="795"/>
      <c r="I39" s="796"/>
    </row>
    <row r="40" spans="1:9" x14ac:dyDescent="0.25">
      <c r="A40" s="794" t="s">
        <v>579</v>
      </c>
      <c r="B40" s="795"/>
      <c r="C40" s="795"/>
      <c r="D40" s="795"/>
      <c r="E40" s="795"/>
      <c r="F40" s="795"/>
      <c r="G40" s="795"/>
      <c r="H40" s="795"/>
      <c r="I40" s="796"/>
    </row>
    <row r="41" spans="1:9" x14ac:dyDescent="0.25">
      <c r="A41" s="794" t="s">
        <v>580</v>
      </c>
      <c r="B41" s="795"/>
      <c r="C41" s="795"/>
      <c r="D41" s="795"/>
      <c r="E41" s="795"/>
      <c r="F41" s="795"/>
      <c r="G41" s="795"/>
      <c r="H41" s="795"/>
      <c r="I41" s="796"/>
    </row>
    <row r="42" spans="1:9" x14ac:dyDescent="0.25">
      <c r="A42" s="794" t="s">
        <v>581</v>
      </c>
      <c r="B42" s="795"/>
      <c r="C42" s="795"/>
      <c r="D42" s="795"/>
      <c r="E42" s="795"/>
      <c r="F42" s="795"/>
      <c r="G42" s="795"/>
      <c r="H42" s="795"/>
      <c r="I42" s="796"/>
    </row>
    <row r="43" spans="1:9" x14ac:dyDescent="0.25">
      <c r="A43" s="794" t="s">
        <v>582</v>
      </c>
      <c r="B43" s="795"/>
      <c r="C43" s="795"/>
      <c r="D43" s="795"/>
      <c r="E43" s="795"/>
      <c r="F43" s="795"/>
      <c r="G43" s="795"/>
      <c r="H43" s="795"/>
      <c r="I43" s="796"/>
    </row>
    <row r="44" spans="1:9" x14ac:dyDescent="0.25">
      <c r="A44" s="794" t="s">
        <v>583</v>
      </c>
      <c r="B44" s="795"/>
      <c r="C44" s="795"/>
      <c r="D44" s="795"/>
      <c r="E44" s="795"/>
      <c r="F44" s="795"/>
      <c r="G44" s="795"/>
      <c r="H44" s="795"/>
      <c r="I44" s="796"/>
    </row>
    <row r="45" spans="1:9" x14ac:dyDescent="0.25">
      <c r="A45" s="794" t="s">
        <v>584</v>
      </c>
      <c r="B45" s="795"/>
      <c r="C45" s="795"/>
      <c r="D45" s="795"/>
      <c r="E45" s="795"/>
      <c r="F45" s="795"/>
      <c r="G45" s="795"/>
      <c r="H45" s="795"/>
      <c r="I45" s="796"/>
    </row>
    <row r="46" spans="1:9" x14ac:dyDescent="0.25">
      <c r="A46" s="794" t="s">
        <v>585</v>
      </c>
      <c r="B46" s="795"/>
      <c r="C46" s="795"/>
      <c r="D46" s="795"/>
      <c r="E46" s="795"/>
      <c r="F46" s="795"/>
      <c r="G46" s="795"/>
      <c r="H46" s="795"/>
      <c r="I46" s="796"/>
    </row>
    <row r="47" spans="1:9" x14ac:dyDescent="0.25">
      <c r="A47" s="794" t="s">
        <v>586</v>
      </c>
      <c r="B47" s="795"/>
      <c r="C47" s="795"/>
      <c r="D47" s="795"/>
      <c r="E47" s="795"/>
      <c r="F47" s="795"/>
      <c r="G47" s="795"/>
      <c r="H47" s="795"/>
      <c r="I47" s="796"/>
    </row>
    <row r="48" spans="1:9" x14ac:dyDescent="0.25">
      <c r="A48" s="794" t="s">
        <v>587</v>
      </c>
      <c r="B48" s="795"/>
      <c r="C48" s="795"/>
      <c r="D48" s="795"/>
      <c r="E48" s="795"/>
      <c r="F48" s="795"/>
      <c r="G48" s="795"/>
      <c r="H48" s="795"/>
      <c r="I48" s="796"/>
    </row>
    <row r="49" spans="1:9" x14ac:dyDescent="0.25">
      <c r="A49" s="794" t="s">
        <v>588</v>
      </c>
      <c r="B49" s="795"/>
      <c r="C49" s="795"/>
      <c r="D49" s="795"/>
      <c r="E49" s="795"/>
      <c r="F49" s="795"/>
      <c r="G49" s="795"/>
      <c r="H49" s="795"/>
      <c r="I49" s="796"/>
    </row>
    <row r="50" spans="1:9" x14ac:dyDescent="0.25">
      <c r="A50" s="808" t="s">
        <v>589</v>
      </c>
      <c r="B50" s="809"/>
      <c r="C50" s="809"/>
      <c r="D50" s="809"/>
      <c r="E50" s="809"/>
      <c r="F50" s="809"/>
      <c r="G50" s="809"/>
      <c r="H50" s="809"/>
      <c r="I50" s="810"/>
    </row>
    <row r="51" spans="1:9" x14ac:dyDescent="0.25">
      <c r="A51" s="794"/>
      <c r="B51" s="795"/>
      <c r="C51" s="795"/>
      <c r="D51" s="795"/>
      <c r="E51" s="795"/>
      <c r="F51" s="795"/>
      <c r="G51" s="795"/>
      <c r="H51" s="795"/>
      <c r="I51" s="796"/>
    </row>
    <row r="52" spans="1:9" x14ac:dyDescent="0.25">
      <c r="A52" s="794" t="s">
        <v>590</v>
      </c>
      <c r="B52" s="795"/>
      <c r="C52" s="795"/>
      <c r="D52" s="795"/>
      <c r="E52" s="795"/>
      <c r="F52" s="795"/>
      <c r="G52" s="795"/>
      <c r="H52" s="795"/>
      <c r="I52" s="796"/>
    </row>
    <row r="53" spans="1:9" x14ac:dyDescent="0.25">
      <c r="A53" s="794" t="s">
        <v>591</v>
      </c>
      <c r="B53" s="795"/>
      <c r="C53" s="795"/>
      <c r="D53" s="795"/>
      <c r="E53" s="795"/>
      <c r="F53" s="795"/>
      <c r="G53" s="795"/>
      <c r="H53" s="795"/>
      <c r="I53" s="796"/>
    </row>
    <row r="54" spans="1:9" x14ac:dyDescent="0.25">
      <c r="A54" s="794" t="s">
        <v>592</v>
      </c>
      <c r="B54" s="795"/>
      <c r="C54" s="811" t="str">
        <f>Дог.!M7</f>
        <v>=D7</v>
      </c>
      <c r="D54" s="520"/>
      <c r="E54" s="795" t="s">
        <v>593</v>
      </c>
      <c r="F54" s="795"/>
      <c r="G54" s="795"/>
      <c r="H54" s="795"/>
      <c r="I54" s="796"/>
    </row>
    <row r="55" spans="1:9" x14ac:dyDescent="0.25">
      <c r="A55" s="794" t="s">
        <v>594</v>
      </c>
      <c r="B55" s="795"/>
      <c r="C55" s="795"/>
      <c r="D55" s="795"/>
      <c r="E55" s="795"/>
      <c r="F55" s="795"/>
      <c r="G55" s="795"/>
      <c r="H55" s="795"/>
      <c r="I55" s="796"/>
    </row>
    <row r="56" spans="1:9" x14ac:dyDescent="0.25">
      <c r="A56" s="794" t="s">
        <v>601</v>
      </c>
      <c r="B56" s="795"/>
      <c r="C56" s="795"/>
      <c r="D56" s="795"/>
      <c r="E56" s="795"/>
      <c r="F56" s="795"/>
      <c r="G56" s="795"/>
      <c r="H56" s="795"/>
      <c r="I56" s="796"/>
    </row>
    <row r="57" spans="1:9" x14ac:dyDescent="0.25">
      <c r="A57" s="794" t="s">
        <v>595</v>
      </c>
      <c r="B57" s="795"/>
      <c r="C57" s="795"/>
      <c r="D57" s="795"/>
      <c r="E57" s="795"/>
      <c r="F57" s="795"/>
      <c r="G57" s="795"/>
      <c r="H57" s="795"/>
      <c r="I57" s="796"/>
    </row>
    <row r="58" spans="1:9" x14ac:dyDescent="0.25">
      <c r="A58" s="794" t="s">
        <v>596</v>
      </c>
      <c r="B58" s="795"/>
      <c r="C58" s="795"/>
      <c r="D58" s="795"/>
      <c r="E58" s="795"/>
      <c r="F58" s="795"/>
      <c r="G58" s="795"/>
      <c r="H58" s="795"/>
      <c r="I58" s="796"/>
    </row>
    <row r="59" spans="1:9" x14ac:dyDescent="0.25">
      <c r="A59" s="794" t="s">
        <v>597</v>
      </c>
      <c r="B59" s="795"/>
      <c r="C59" s="795"/>
      <c r="D59" s="795"/>
      <c r="E59" s="795"/>
      <c r="F59" s="795"/>
      <c r="G59" s="795"/>
      <c r="H59" s="795"/>
      <c r="I59" s="796"/>
    </row>
    <row r="60" spans="1:9" x14ac:dyDescent="0.25">
      <c r="A60" s="794" t="s">
        <v>598</v>
      </c>
      <c r="B60" s="795"/>
      <c r="C60" s="795"/>
      <c r="D60" s="795"/>
      <c r="E60" s="795"/>
      <c r="F60" s="795"/>
      <c r="G60" s="795"/>
      <c r="H60" s="795"/>
      <c r="I60" s="796"/>
    </row>
    <row r="61" spans="1:9" x14ac:dyDescent="0.25">
      <c r="A61" s="794"/>
      <c r="B61" s="795"/>
      <c r="C61" s="795"/>
      <c r="D61" s="795"/>
      <c r="E61" s="795"/>
      <c r="F61" s="795"/>
      <c r="G61" s="795"/>
      <c r="H61" s="795"/>
      <c r="I61" s="796"/>
    </row>
    <row r="62" spans="1:9" x14ac:dyDescent="0.25">
      <c r="A62" s="794"/>
      <c r="B62" s="795"/>
      <c r="C62" s="795"/>
      <c r="D62" s="795"/>
      <c r="E62" s="795"/>
      <c r="F62" s="795"/>
      <c r="G62" s="795"/>
      <c r="H62" s="795"/>
      <c r="I62" s="796"/>
    </row>
    <row r="63" spans="1:9" x14ac:dyDescent="0.25">
      <c r="A63" s="794" t="s">
        <v>788</v>
      </c>
      <c r="B63" s="795"/>
      <c r="C63" s="795"/>
      <c r="D63" s="795"/>
      <c r="E63" s="795"/>
      <c r="F63" s="795"/>
      <c r="G63" s="795"/>
      <c r="H63" s="795"/>
      <c r="I63" s="796"/>
    </row>
    <row r="64" spans="1:9" ht="16.5" thickBot="1" x14ac:dyDescent="0.3">
      <c r="A64" s="812"/>
      <c r="B64" s="813"/>
      <c r="C64" s="813"/>
      <c r="D64" s="813"/>
      <c r="E64" s="813"/>
      <c r="F64" s="813"/>
      <c r="G64" s="813"/>
      <c r="H64" s="813"/>
      <c r="I64" s="814"/>
    </row>
    <row r="65" spans="1:9" x14ac:dyDescent="0.25">
      <c r="A65" s="795"/>
      <c r="B65" s="795"/>
      <c r="C65" s="795"/>
      <c r="D65" s="795"/>
      <c r="E65" s="795"/>
      <c r="F65" s="795"/>
      <c r="G65" s="795"/>
      <c r="H65" s="795"/>
      <c r="I65" s="795"/>
    </row>
    <row r="66" spans="1:9" x14ac:dyDescent="0.25">
      <c r="A66" s="795"/>
      <c r="B66" s="795"/>
      <c r="C66" s="795"/>
      <c r="D66" s="795"/>
      <c r="E66" s="795"/>
      <c r="F66" s="795"/>
      <c r="G66" s="795"/>
      <c r="H66" s="795"/>
      <c r="I66" s="795"/>
    </row>
    <row r="67" spans="1:9" x14ac:dyDescent="0.25">
      <c r="A67" s="795"/>
      <c r="B67" s="795"/>
      <c r="C67" s="795"/>
      <c r="D67" s="795"/>
      <c r="E67" s="795"/>
      <c r="F67" s="795"/>
      <c r="G67" s="795"/>
      <c r="H67" s="795"/>
      <c r="I67" s="795"/>
    </row>
  </sheetData>
  <mergeCells count="80">
    <mergeCell ref="A66:I66"/>
    <mergeCell ref="A67:I67"/>
    <mergeCell ref="A61:I61"/>
    <mergeCell ref="A62:I62"/>
    <mergeCell ref="A63:I63"/>
    <mergeCell ref="A64:I64"/>
    <mergeCell ref="A65:I65"/>
    <mergeCell ref="A56:I56"/>
    <mergeCell ref="A57:I57"/>
    <mergeCell ref="A58:I58"/>
    <mergeCell ref="A59:I59"/>
    <mergeCell ref="A60:I60"/>
    <mergeCell ref="A53:I53"/>
    <mergeCell ref="A54:B54"/>
    <mergeCell ref="C54:D54"/>
    <mergeCell ref="E54:I54"/>
    <mergeCell ref="A55:I55"/>
    <mergeCell ref="A48:I48"/>
    <mergeCell ref="A49:I49"/>
    <mergeCell ref="A50:I50"/>
    <mergeCell ref="A51:I51"/>
    <mergeCell ref="A52:I52"/>
    <mergeCell ref="A43:I43"/>
    <mergeCell ref="A44:I44"/>
    <mergeCell ref="A45:I45"/>
    <mergeCell ref="A46:I46"/>
    <mergeCell ref="A47:I47"/>
    <mergeCell ref="A38:I38"/>
    <mergeCell ref="A39:I39"/>
    <mergeCell ref="A40:I40"/>
    <mergeCell ref="A41:I41"/>
    <mergeCell ref="A42:I42"/>
    <mergeCell ref="A35:B35"/>
    <mergeCell ref="C35:D35"/>
    <mergeCell ref="E35:I35"/>
    <mergeCell ref="A36:H36"/>
    <mergeCell ref="A37:I37"/>
    <mergeCell ref="A32:F32"/>
    <mergeCell ref="H32:I32"/>
    <mergeCell ref="A33:I33"/>
    <mergeCell ref="A34:D34"/>
    <mergeCell ref="E34:I34"/>
    <mergeCell ref="A28:I28"/>
    <mergeCell ref="A29:I29"/>
    <mergeCell ref="A30:I30"/>
    <mergeCell ref="A31:B31"/>
    <mergeCell ref="C31:D31"/>
    <mergeCell ref="E31:I31"/>
    <mergeCell ref="A24:B24"/>
    <mergeCell ref="C24:I24"/>
    <mergeCell ref="A25:I25"/>
    <mergeCell ref="A26:I26"/>
    <mergeCell ref="A27:E27"/>
    <mergeCell ref="F27:I27"/>
    <mergeCell ref="A20:D20"/>
    <mergeCell ref="E20:H20"/>
    <mergeCell ref="A21:I21"/>
    <mergeCell ref="A22:I22"/>
    <mergeCell ref="A23:E23"/>
    <mergeCell ref="F23:I23"/>
    <mergeCell ref="A3:I3"/>
    <mergeCell ref="A7:I7"/>
    <mergeCell ref="A1:I1"/>
    <mergeCell ref="A9:I9"/>
    <mergeCell ref="A2:I2"/>
    <mergeCell ref="D14:G14"/>
    <mergeCell ref="H15:I15"/>
    <mergeCell ref="A16:I16"/>
    <mergeCell ref="A19:I19"/>
    <mergeCell ref="A4:E4"/>
    <mergeCell ref="F4:G4"/>
    <mergeCell ref="H4:I4"/>
    <mergeCell ref="A5:G5"/>
    <mergeCell ref="H5:I5"/>
    <mergeCell ref="A6:I6"/>
    <mergeCell ref="A12:I12"/>
    <mergeCell ref="A11:I11"/>
    <mergeCell ref="C13:D13"/>
    <mergeCell ref="A10:I10"/>
    <mergeCell ref="A8:I8"/>
  </mergeCells>
  <pageMargins left="0.7" right="0.7" top="0.75" bottom="0.75" header="0.3" footer="0.3"/>
  <pageSetup paperSize="9" scale="9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Q126"/>
  <sheetViews>
    <sheetView workbookViewId="0">
      <selection activeCell="K122" sqref="K122"/>
    </sheetView>
  </sheetViews>
  <sheetFormatPr defaultRowHeight="18" customHeight="1" x14ac:dyDescent="0.25"/>
  <cols>
    <col min="1" max="1" width="4.85546875" style="72" customWidth="1"/>
    <col min="2" max="3" width="9.140625" style="72"/>
    <col min="4" max="4" width="9.5703125" style="72" bestFit="1" customWidth="1"/>
    <col min="5" max="5" width="10.85546875" style="72" customWidth="1"/>
    <col min="6" max="6" width="9.140625" style="72"/>
    <col min="7" max="7" width="8.42578125" style="72" customWidth="1"/>
    <col min="8" max="8" width="8.85546875" style="72" customWidth="1"/>
    <col min="9" max="9" width="15.28515625" style="72" customWidth="1"/>
    <col min="10" max="10" width="8.85546875" style="65" customWidth="1"/>
    <col min="11" max="13" width="9.140625" style="65"/>
    <col min="14" max="15" width="9.28515625" style="65" bestFit="1" customWidth="1"/>
    <col min="16" max="16" width="9.5703125" style="65" bestFit="1" customWidth="1"/>
    <col min="17" max="17" width="13.42578125" style="65" customWidth="1"/>
  </cols>
  <sheetData>
    <row r="2" spans="1:10" ht="18" customHeight="1" x14ac:dyDescent="0.25">
      <c r="A2" s="520" t="s">
        <v>149</v>
      </c>
      <c r="B2" s="520"/>
      <c r="C2" s="520"/>
      <c r="D2" s="520"/>
      <c r="E2" s="520"/>
      <c r="F2" s="520"/>
      <c r="G2" s="520"/>
      <c r="H2" s="520"/>
      <c r="I2" s="520"/>
    </row>
    <row r="3" spans="1:10" ht="18" customHeight="1" x14ac:dyDescent="0.25">
      <c r="A3" s="66"/>
      <c r="B3" s="66"/>
      <c r="C3" s="66"/>
      <c r="D3" s="66"/>
      <c r="E3" s="66"/>
      <c r="F3" s="66"/>
      <c r="G3" s="66"/>
      <c r="H3" s="66"/>
      <c r="I3" s="66"/>
    </row>
    <row r="4" spans="1:10" ht="18" customHeight="1" x14ac:dyDescent="0.25">
      <c r="A4" s="67">
        <v>1</v>
      </c>
      <c r="B4" s="817" t="s">
        <v>150</v>
      </c>
      <c r="C4" s="817"/>
      <c r="D4" s="817"/>
      <c r="E4" s="817"/>
      <c r="F4" s="817" t="str">
        <f>Дог.!A14</f>
        <v>Зинченко Михаил Александрович</v>
      </c>
      <c r="G4" s="817"/>
      <c r="H4" s="817"/>
      <c r="I4" s="817"/>
    </row>
    <row r="5" spans="1:10" ht="18" customHeight="1" x14ac:dyDescent="0.25">
      <c r="A5" s="67">
        <v>2</v>
      </c>
      <c r="B5" s="817" t="s">
        <v>151</v>
      </c>
      <c r="C5" s="817"/>
      <c r="D5" s="817"/>
      <c r="E5" s="817"/>
      <c r="F5" s="819">
        <v>39073</v>
      </c>
      <c r="G5" s="819"/>
      <c r="H5" s="819"/>
      <c r="I5" s="819"/>
      <c r="J5" s="68"/>
    </row>
    <row r="6" spans="1:10" ht="18" customHeight="1" x14ac:dyDescent="0.25">
      <c r="A6" s="67">
        <v>3</v>
      </c>
      <c r="B6" s="817" t="s">
        <v>152</v>
      </c>
      <c r="C6" s="817"/>
      <c r="D6" s="817"/>
      <c r="E6" s="817"/>
      <c r="F6" s="817" t="s">
        <v>74</v>
      </c>
      <c r="G6" s="817"/>
      <c r="H6" s="817"/>
      <c r="I6" s="817"/>
    </row>
    <row r="7" spans="1:10" ht="18" customHeight="1" x14ac:dyDescent="0.25">
      <c r="A7" s="67">
        <v>4</v>
      </c>
      <c r="B7" s="817" t="s">
        <v>153</v>
      </c>
      <c r="C7" s="817"/>
      <c r="D7" s="817"/>
      <c r="E7" s="817"/>
      <c r="F7" s="817" t="s">
        <v>661</v>
      </c>
      <c r="G7" s="817"/>
      <c r="H7" s="817"/>
      <c r="I7" s="817"/>
    </row>
    <row r="8" spans="1:10" ht="18" customHeight="1" x14ac:dyDescent="0.25">
      <c r="A8" s="67">
        <v>5</v>
      </c>
      <c r="B8" s="817" t="s">
        <v>154</v>
      </c>
      <c r="C8" s="817"/>
      <c r="D8" s="817"/>
      <c r="E8" s="817"/>
      <c r="F8" s="817" t="s">
        <v>790</v>
      </c>
      <c r="G8" s="817"/>
      <c r="H8" s="817"/>
      <c r="I8" s="817"/>
    </row>
    <row r="9" spans="1:10" ht="18" customHeight="1" x14ac:dyDescent="0.25">
      <c r="A9" s="67">
        <v>6</v>
      </c>
      <c r="B9" s="817" t="s">
        <v>155</v>
      </c>
      <c r="C9" s="817"/>
      <c r="D9" s="817"/>
      <c r="E9" s="817"/>
      <c r="F9" s="820">
        <v>22212200650516</v>
      </c>
      <c r="G9" s="820"/>
      <c r="H9" s="820"/>
      <c r="I9" s="820"/>
    </row>
    <row r="10" spans="1:10" ht="18" customHeight="1" x14ac:dyDescent="0.25">
      <c r="A10" s="67">
        <v>7</v>
      </c>
      <c r="B10" s="817" t="s">
        <v>156</v>
      </c>
      <c r="C10" s="817"/>
      <c r="D10" s="817"/>
      <c r="E10" s="817"/>
      <c r="F10" s="817" t="s">
        <v>157</v>
      </c>
      <c r="G10" s="817"/>
      <c r="H10" s="817"/>
      <c r="I10" s="817"/>
    </row>
    <row r="11" spans="1:10" ht="18" customHeight="1" x14ac:dyDescent="0.25">
      <c r="A11" s="67">
        <v>8</v>
      </c>
      <c r="B11" s="817" t="s">
        <v>158</v>
      </c>
      <c r="C11" s="817"/>
      <c r="D11" s="817"/>
      <c r="E11" s="817"/>
      <c r="F11" s="817" t="s">
        <v>157</v>
      </c>
      <c r="G11" s="817"/>
      <c r="H11" s="817"/>
      <c r="I11" s="817"/>
    </row>
    <row r="12" spans="1:10" ht="18" customHeight="1" x14ac:dyDescent="0.25">
      <c r="A12" s="67">
        <v>9</v>
      </c>
      <c r="B12" s="817" t="s">
        <v>159</v>
      </c>
      <c r="C12" s="817"/>
      <c r="D12" s="817"/>
      <c r="E12" s="817"/>
      <c r="F12" s="817" t="s">
        <v>160</v>
      </c>
      <c r="G12" s="817"/>
      <c r="H12" s="817"/>
      <c r="I12" s="817"/>
    </row>
    <row r="13" spans="1:10" ht="18" customHeight="1" x14ac:dyDescent="0.25">
      <c r="A13" s="67">
        <v>10</v>
      </c>
      <c r="B13" s="817" t="s">
        <v>161</v>
      </c>
      <c r="C13" s="817"/>
      <c r="D13" s="817"/>
      <c r="E13" s="817"/>
      <c r="F13" s="817"/>
      <c r="G13" s="817"/>
      <c r="H13" s="817"/>
      <c r="I13" s="817"/>
    </row>
    <row r="14" spans="1:10" ht="18" customHeight="1" x14ac:dyDescent="0.25">
      <c r="A14" s="67">
        <v>11</v>
      </c>
      <c r="B14" s="817" t="s">
        <v>162</v>
      </c>
      <c r="C14" s="817"/>
      <c r="D14" s="817"/>
      <c r="E14" s="817"/>
      <c r="F14" s="817" t="s">
        <v>660</v>
      </c>
      <c r="G14" s="817"/>
      <c r="H14" s="817"/>
      <c r="I14" s="817"/>
    </row>
    <row r="15" spans="1:10" ht="18" customHeight="1" x14ac:dyDescent="0.25">
      <c r="A15" s="67">
        <v>12</v>
      </c>
      <c r="B15" s="817" t="s">
        <v>163</v>
      </c>
      <c r="C15" s="817"/>
      <c r="D15" s="817"/>
      <c r="E15" s="817"/>
      <c r="F15" s="817" t="s">
        <v>697</v>
      </c>
      <c r="G15" s="817"/>
      <c r="H15" s="817"/>
      <c r="I15" s="817"/>
    </row>
    <row r="16" spans="1:10" ht="18" customHeight="1" x14ac:dyDescent="0.25">
      <c r="A16" s="67">
        <v>13</v>
      </c>
      <c r="B16" s="817" t="s">
        <v>164</v>
      </c>
      <c r="C16" s="817"/>
      <c r="D16" s="817"/>
      <c r="E16" s="817"/>
      <c r="F16" s="817" t="s">
        <v>165</v>
      </c>
      <c r="G16" s="817"/>
      <c r="H16" s="817"/>
      <c r="I16" s="817"/>
    </row>
    <row r="17" spans="1:9" ht="18" customHeight="1" x14ac:dyDescent="0.25">
      <c r="A17" s="67">
        <v>14</v>
      </c>
      <c r="B17" s="817" t="s">
        <v>166</v>
      </c>
      <c r="C17" s="817"/>
      <c r="D17" s="817"/>
      <c r="E17" s="817"/>
      <c r="F17" s="817" t="s">
        <v>791</v>
      </c>
      <c r="G17" s="817"/>
      <c r="H17" s="817"/>
      <c r="I17" s="817"/>
    </row>
    <row r="18" spans="1:9" ht="18" customHeight="1" x14ac:dyDescent="0.25">
      <c r="A18" s="67">
        <v>15</v>
      </c>
      <c r="B18" s="817" t="s">
        <v>167</v>
      </c>
      <c r="C18" s="817"/>
      <c r="D18" s="817"/>
      <c r="E18" s="817"/>
      <c r="F18" s="817" t="s">
        <v>792</v>
      </c>
      <c r="G18" s="817"/>
      <c r="H18" s="817"/>
      <c r="I18" s="817"/>
    </row>
    <row r="19" spans="1:9" ht="87" customHeight="1" x14ac:dyDescent="0.25">
      <c r="A19" s="67">
        <v>16</v>
      </c>
      <c r="B19" s="818" t="s">
        <v>168</v>
      </c>
      <c r="C19" s="818"/>
      <c r="D19" s="818"/>
      <c r="E19" s="818"/>
      <c r="F19" s="817" t="s">
        <v>169</v>
      </c>
      <c r="G19" s="817"/>
      <c r="H19" s="817"/>
      <c r="I19" s="817"/>
    </row>
    <row r="20" spans="1:9" ht="89.25" customHeight="1" x14ac:dyDescent="0.25">
      <c r="A20" s="67">
        <v>17</v>
      </c>
      <c r="B20" s="818" t="s">
        <v>170</v>
      </c>
      <c r="C20" s="818"/>
      <c r="D20" s="818"/>
      <c r="E20" s="818"/>
      <c r="F20" s="817"/>
      <c r="G20" s="817"/>
      <c r="H20" s="817"/>
      <c r="I20" s="817"/>
    </row>
    <row r="21" spans="1:9" ht="71.25" customHeight="1" x14ac:dyDescent="0.25">
      <c r="A21" s="67">
        <v>18</v>
      </c>
      <c r="B21" s="818" t="s">
        <v>171</v>
      </c>
      <c r="C21" s="818"/>
      <c r="D21" s="818"/>
      <c r="E21" s="818"/>
      <c r="F21" s="817"/>
      <c r="G21" s="817"/>
      <c r="H21" s="817"/>
      <c r="I21" s="817"/>
    </row>
    <row r="22" spans="1:9" ht="18" customHeight="1" x14ac:dyDescent="0.25">
      <c r="A22" s="816" t="s">
        <v>172</v>
      </c>
      <c r="B22" s="816"/>
      <c r="C22" s="816"/>
      <c r="D22" s="816"/>
      <c r="E22" s="816"/>
      <c r="F22" s="816"/>
      <c r="G22" s="816"/>
      <c r="H22" s="816"/>
      <c r="I22" s="816"/>
    </row>
    <row r="23" spans="1:9" ht="18" customHeight="1" x14ac:dyDescent="0.25">
      <c r="A23" s="520" t="s">
        <v>173</v>
      </c>
      <c r="B23" s="520"/>
      <c r="C23" s="520"/>
      <c r="D23" s="520"/>
      <c r="E23" s="520"/>
      <c r="F23" s="520"/>
      <c r="G23" s="520"/>
      <c r="H23" s="520"/>
      <c r="I23" s="520"/>
    </row>
    <row r="24" spans="1:9" ht="18" customHeight="1" x14ac:dyDescent="0.25">
      <c r="A24" s="802" t="s">
        <v>174</v>
      </c>
      <c r="B24" s="802"/>
      <c r="C24" s="802"/>
      <c r="D24" s="802"/>
      <c r="E24" s="802"/>
      <c r="F24" s="802"/>
      <c r="G24" s="802"/>
      <c r="H24" s="802"/>
      <c r="I24" s="802"/>
    </row>
    <row r="25" spans="1:9" ht="18" customHeight="1" x14ac:dyDescent="0.25">
      <c r="A25" s="65"/>
      <c r="B25" s="69"/>
      <c r="C25" s="69"/>
      <c r="D25" s="775" t="s">
        <v>175</v>
      </c>
      <c r="E25" s="775"/>
      <c r="F25" s="775"/>
      <c r="G25" s="775"/>
      <c r="H25" s="70"/>
      <c r="I25" s="70"/>
    </row>
    <row r="26" spans="1:9" ht="18" customHeight="1" x14ac:dyDescent="0.25">
      <c r="A26" s="65"/>
      <c r="B26" s="65"/>
      <c r="C26" s="65"/>
      <c r="D26" s="65"/>
      <c r="E26" s="65"/>
      <c r="F26" s="65"/>
      <c r="G26" s="71"/>
      <c r="H26" s="776" t="s">
        <v>63</v>
      </c>
      <c r="I26" s="776"/>
    </row>
    <row r="27" spans="1:9" ht="18" customHeight="1" x14ac:dyDescent="0.25">
      <c r="A27" s="520" t="s">
        <v>176</v>
      </c>
      <c r="B27" s="520"/>
      <c r="C27" s="520"/>
      <c r="D27" s="520"/>
      <c r="E27" s="65"/>
      <c r="F27" s="65"/>
      <c r="G27" s="520" t="s">
        <v>177</v>
      </c>
      <c r="H27" s="520"/>
      <c r="I27" s="520"/>
    </row>
    <row r="28" spans="1:9" ht="18" customHeight="1" x14ac:dyDescent="0.25">
      <c r="A28" s="65"/>
      <c r="B28" s="65"/>
      <c r="C28" s="65"/>
      <c r="D28" s="65"/>
      <c r="E28" s="65"/>
      <c r="F28" s="65"/>
      <c r="G28" s="65"/>
      <c r="H28" s="65"/>
      <c r="I28" s="65"/>
    </row>
    <row r="29" spans="1:9" ht="18" customHeight="1" x14ac:dyDescent="0.25">
      <c r="A29" s="520" t="s">
        <v>178</v>
      </c>
      <c r="B29" s="520"/>
      <c r="C29" s="520"/>
      <c r="D29" s="520"/>
      <c r="E29" s="520"/>
      <c r="F29" s="520"/>
      <c r="G29" s="520"/>
      <c r="H29" s="520"/>
      <c r="I29" s="520"/>
    </row>
    <row r="30" spans="1:9" ht="18" customHeight="1" x14ac:dyDescent="0.25">
      <c r="A30" s="520" t="s">
        <v>179</v>
      </c>
      <c r="B30" s="520"/>
      <c r="C30" s="520"/>
      <c r="D30" s="520"/>
      <c r="E30" s="520"/>
      <c r="F30" s="520"/>
      <c r="G30" s="520"/>
      <c r="H30" s="520"/>
      <c r="I30" s="520"/>
    </row>
    <row r="31" spans="1:9" ht="18" customHeight="1" x14ac:dyDescent="0.25">
      <c r="A31" s="815" t="s">
        <v>180</v>
      </c>
      <c r="B31" s="815"/>
      <c r="C31" s="815"/>
      <c r="D31" s="815"/>
      <c r="E31" s="815"/>
      <c r="F31" s="815"/>
      <c r="G31" s="815"/>
      <c r="H31" s="815"/>
      <c r="I31" s="815"/>
    </row>
    <row r="32" spans="1:9" ht="18" customHeight="1" x14ac:dyDescent="0.25">
      <c r="A32" s="65"/>
      <c r="B32" s="65"/>
      <c r="C32" s="65"/>
      <c r="D32" s="65"/>
      <c r="E32" s="65"/>
      <c r="F32" s="65"/>
      <c r="G32" s="65"/>
      <c r="H32" s="65"/>
      <c r="I32" s="65"/>
    </row>
    <row r="33" spans="1:9" ht="18" customHeight="1" x14ac:dyDescent="0.25">
      <c r="A33" s="520" t="s">
        <v>181</v>
      </c>
      <c r="B33" s="520"/>
      <c r="C33" s="520"/>
      <c r="D33" s="520"/>
      <c r="E33" s="520"/>
      <c r="F33" s="520"/>
      <c r="G33" s="520"/>
      <c r="H33" s="520"/>
      <c r="I33" s="520"/>
    </row>
    <row r="37" spans="1:9" ht="18" customHeight="1" x14ac:dyDescent="0.25">
      <c r="A37" s="97"/>
      <c r="B37" s="97"/>
      <c r="C37" s="97"/>
      <c r="D37" s="97"/>
      <c r="E37" s="97"/>
      <c r="F37" s="97"/>
      <c r="G37" s="795" t="s">
        <v>182</v>
      </c>
      <c r="H37" s="795"/>
      <c r="I37" s="795"/>
    </row>
    <row r="38" spans="1:9" ht="18" customHeight="1" x14ac:dyDescent="0.25">
      <c r="A38" s="97"/>
      <c r="B38" s="97"/>
      <c r="C38" s="97"/>
      <c r="D38" s="97"/>
      <c r="E38" s="97"/>
      <c r="F38" s="97"/>
      <c r="G38" s="795" t="s">
        <v>183</v>
      </c>
      <c r="H38" s="795"/>
      <c r="I38" s="795"/>
    </row>
    <row r="39" spans="1:9" ht="18" customHeight="1" x14ac:dyDescent="0.25">
      <c r="A39" s="97"/>
      <c r="B39" s="97"/>
      <c r="C39" s="97"/>
      <c r="D39" s="97"/>
      <c r="E39" s="97"/>
      <c r="F39" s="97"/>
      <c r="G39" s="795" t="s">
        <v>184</v>
      </c>
      <c r="H39" s="795"/>
      <c r="I39" s="795"/>
    </row>
    <row r="40" spans="1:9" ht="18" customHeight="1" x14ac:dyDescent="0.25">
      <c r="A40" s="97"/>
      <c r="B40" s="97"/>
      <c r="C40" s="97"/>
      <c r="D40" s="97"/>
      <c r="E40" s="97"/>
      <c r="F40" s="97"/>
      <c r="G40" s="795" t="s">
        <v>185</v>
      </c>
      <c r="H40" s="795"/>
      <c r="I40" s="795"/>
    </row>
    <row r="41" spans="1:9" ht="18" customHeight="1" x14ac:dyDescent="0.25">
      <c r="A41" s="97"/>
      <c r="B41" s="97"/>
      <c r="C41" s="97"/>
      <c r="D41" s="97"/>
      <c r="E41" s="97"/>
      <c r="F41" s="97"/>
      <c r="G41" s="795" t="s">
        <v>186</v>
      </c>
      <c r="H41" s="795"/>
      <c r="I41" s="795"/>
    </row>
    <row r="42" spans="1:9" ht="18" customHeight="1" x14ac:dyDescent="0.25">
      <c r="A42" s="97"/>
      <c r="B42" s="97"/>
      <c r="C42" s="97"/>
      <c r="D42" s="97"/>
      <c r="E42" s="97"/>
      <c r="F42" s="97"/>
      <c r="G42" s="795" t="s">
        <v>794</v>
      </c>
      <c r="H42" s="795"/>
      <c r="I42" s="795"/>
    </row>
    <row r="43" spans="1:9" ht="18" customHeight="1" x14ac:dyDescent="0.25">
      <c r="A43" s="97"/>
      <c r="B43" s="97"/>
      <c r="C43" s="97"/>
      <c r="D43" s="97"/>
      <c r="E43" s="97"/>
      <c r="F43" s="97"/>
      <c r="G43" s="97"/>
      <c r="H43" s="97"/>
      <c r="I43" s="97"/>
    </row>
    <row r="44" spans="1:9" ht="18" customHeight="1" x14ac:dyDescent="0.25">
      <c r="A44" s="97"/>
      <c r="B44" s="97"/>
      <c r="C44" s="97"/>
      <c r="D44" s="97"/>
      <c r="E44" s="97"/>
      <c r="F44" s="97"/>
      <c r="G44" s="97"/>
      <c r="H44" s="97"/>
      <c r="I44" s="97"/>
    </row>
    <row r="45" spans="1:9" ht="18" customHeight="1" x14ac:dyDescent="0.25">
      <c r="A45" s="97"/>
      <c r="B45" s="97"/>
      <c r="C45" s="97"/>
      <c r="D45" s="97"/>
      <c r="E45" s="97"/>
      <c r="F45" s="97"/>
      <c r="G45" s="97"/>
      <c r="H45" s="97"/>
      <c r="I45" s="97"/>
    </row>
    <row r="46" spans="1:9" ht="18" customHeight="1" x14ac:dyDescent="0.25">
      <c r="A46" s="520" t="s">
        <v>187</v>
      </c>
      <c r="B46" s="520"/>
      <c r="C46" s="520"/>
      <c r="D46" s="520"/>
      <c r="E46" s="520"/>
      <c r="F46" s="520"/>
      <c r="G46" s="520"/>
      <c r="H46" s="520"/>
      <c r="I46" s="520"/>
    </row>
    <row r="47" spans="1:9" ht="18" customHeight="1" x14ac:dyDescent="0.25">
      <c r="A47" s="523" t="s">
        <v>188</v>
      </c>
      <c r="B47" s="523"/>
      <c r="C47" s="523"/>
      <c r="D47" s="523"/>
      <c r="E47" s="523"/>
      <c r="F47" s="523"/>
      <c r="G47" s="523"/>
      <c r="H47" s="523"/>
      <c r="I47" s="523"/>
    </row>
    <row r="48" spans="1:9" ht="18" customHeight="1" x14ac:dyDescent="0.25">
      <c r="A48" s="75"/>
      <c r="B48" s="75"/>
      <c r="C48" s="75"/>
      <c r="D48" s="75"/>
      <c r="E48" s="75"/>
      <c r="F48" s="75"/>
      <c r="G48" s="75"/>
      <c r="H48" s="75"/>
      <c r="I48" s="75"/>
    </row>
    <row r="49" spans="1:9" ht="18" customHeight="1" x14ac:dyDescent="0.25">
      <c r="A49" s="97"/>
      <c r="B49" s="97" t="s">
        <v>189</v>
      </c>
      <c r="C49" s="783" t="str">
        <f>F4</f>
        <v>Зинченко Михаил Александрович</v>
      </c>
      <c r="D49" s="783"/>
      <c r="E49" s="783"/>
      <c r="F49" s="783"/>
      <c r="G49" s="783" t="s">
        <v>190</v>
      </c>
      <c r="H49" s="783"/>
      <c r="I49" s="783"/>
    </row>
    <row r="50" spans="1:9" ht="18" customHeight="1" x14ac:dyDescent="0.25">
      <c r="A50" s="795" t="s">
        <v>191</v>
      </c>
      <c r="B50" s="795"/>
      <c r="C50" s="795"/>
      <c r="D50" s="520" t="str">
        <f>Дог.!A18</f>
        <v>{{CLIENT_FULLNAME}}</v>
      </c>
      <c r="E50" s="520"/>
      <c r="F50" s="520"/>
      <c r="G50" s="520"/>
      <c r="H50" s="140" t="s">
        <v>230</v>
      </c>
      <c r="I50" s="142" t="str">
        <f>Дог.!A23</f>
        <v>ХХХХХ</v>
      </c>
    </row>
    <row r="51" spans="1:9" ht="18" customHeight="1" x14ac:dyDescent="0.25">
      <c r="A51" s="795" t="s">
        <v>192</v>
      </c>
      <c r="B51" s="795"/>
      <c r="C51" s="792">
        <f ca="1">'Пр №1'!J21</f>
        <v>45982</v>
      </c>
      <c r="D51" s="783"/>
      <c r="E51" s="795" t="s">
        <v>193</v>
      </c>
      <c r="F51" s="795"/>
      <c r="G51" s="77">
        <f ca="1">'Пр №1'!J20</f>
        <v>45982.790570370373</v>
      </c>
      <c r="H51" s="795" t="s">
        <v>662</v>
      </c>
      <c r="I51" s="795"/>
    </row>
    <row r="52" spans="1:9" ht="18" customHeight="1" x14ac:dyDescent="0.25">
      <c r="A52" s="795" t="s">
        <v>663</v>
      </c>
      <c r="B52" s="795"/>
      <c r="C52" s="795"/>
      <c r="D52" s="795"/>
      <c r="E52" s="795"/>
      <c r="F52" s="795"/>
      <c r="G52" s="795"/>
      <c r="H52" s="795"/>
      <c r="I52" s="98" t="str">
        <f>Дог.!B13</f>
        <v xml:space="preserve">г. Бишкек </v>
      </c>
    </row>
    <row r="53" spans="1:9" ht="18" customHeight="1" x14ac:dyDescent="0.25">
      <c r="A53" s="795" t="str">
        <f>Дог.!L8</f>
        <v>ул. Лермонтова д.№ 68</v>
      </c>
      <c r="B53" s="795"/>
      <c r="C53" s="795"/>
      <c r="D53" s="795" t="s">
        <v>231</v>
      </c>
      <c r="E53" s="795"/>
      <c r="F53" s="795"/>
      <c r="G53" s="795"/>
      <c r="H53" s="795"/>
      <c r="I53" s="795"/>
    </row>
    <row r="54" spans="1:9" ht="18" customHeight="1" x14ac:dyDescent="0.25">
      <c r="A54" s="802" t="str">
        <f>'Пр №1'!B20</f>
        <v>{{TOOL_NAME}}</v>
      </c>
      <c r="B54" s="802"/>
      <c r="C54" s="802"/>
      <c r="D54" s="802"/>
      <c r="E54" s="802"/>
      <c r="F54" s="802"/>
      <c r="G54" s="802"/>
      <c r="H54" s="802"/>
      <c r="I54" s="802"/>
    </row>
    <row r="55" spans="1:9" ht="18" customHeight="1" x14ac:dyDescent="0.25">
      <c r="A55" s="795" t="s">
        <v>194</v>
      </c>
      <c r="B55" s="795"/>
      <c r="C55" s="795"/>
      <c r="D55" s="795"/>
      <c r="E55" s="795"/>
      <c r="F55" s="821">
        <f>'Акт прием'!N21</f>
        <v>35000</v>
      </c>
      <c r="G55" s="821"/>
      <c r="H55" s="795" t="s">
        <v>195</v>
      </c>
      <c r="I55" s="795"/>
    </row>
    <row r="56" spans="1:9" ht="18" customHeight="1" x14ac:dyDescent="0.25">
      <c r="A56" s="795" t="s">
        <v>237</v>
      </c>
      <c r="B56" s="795"/>
      <c r="C56" s="795"/>
      <c r="D56" s="795"/>
      <c r="E56" s="795"/>
      <c r="F56" s="822">
        <f ca="1">'Акт расч'!P48</f>
        <v>-3000</v>
      </c>
      <c r="G56" s="822"/>
      <c r="H56" s="795" t="s">
        <v>196</v>
      </c>
      <c r="I56" s="795"/>
    </row>
    <row r="57" spans="1:9" ht="18" customHeight="1" x14ac:dyDescent="0.25">
      <c r="A57" s="520" t="e">
        <f>TRIM(SUBSTITUTE(LEFT(D50&amp;" ",SEARCH(" ",D50&amp;" ")+1)&amp;"."&amp; MID(D50&amp;" ",SEARCH(" ",D50&amp;" ",SEARCH(" ",D50&amp;" ")+1),2)&amp;"."," .",))</f>
        <v>#VALUE!</v>
      </c>
      <c r="B57" s="520"/>
      <c r="C57" s="520"/>
      <c r="D57" s="520"/>
      <c r="E57" s="795" t="s">
        <v>197</v>
      </c>
      <c r="F57" s="795"/>
      <c r="G57" s="795"/>
      <c r="H57" s="795"/>
      <c r="I57" s="795"/>
    </row>
    <row r="58" spans="1:9" ht="18" customHeight="1" x14ac:dyDescent="0.25">
      <c r="A58" s="824">
        <f ca="1">F55+F56</f>
        <v>32000</v>
      </c>
      <c r="B58" s="824"/>
      <c r="C58" s="824"/>
      <c r="D58" s="97"/>
      <c r="E58" s="97"/>
      <c r="F58" s="97"/>
      <c r="G58" s="76"/>
      <c r="H58" s="97"/>
      <c r="I58" s="97"/>
    </row>
    <row r="59" spans="1:9" ht="18" customHeight="1" x14ac:dyDescent="0.25">
      <c r="A59" s="97"/>
      <c r="B59" s="97"/>
      <c r="C59" s="97"/>
      <c r="D59" s="97"/>
      <c r="E59" s="97"/>
      <c r="F59" s="97"/>
      <c r="G59" s="76"/>
      <c r="H59" s="97"/>
      <c r="I59" s="97"/>
    </row>
    <row r="60" spans="1:9" ht="18" customHeight="1" x14ac:dyDescent="0.25">
      <c r="A60" s="97"/>
      <c r="B60" s="97"/>
      <c r="C60" s="97"/>
      <c r="D60" s="97"/>
      <c r="E60" s="97"/>
      <c r="F60" s="97"/>
      <c r="G60" s="76"/>
      <c r="H60" s="97"/>
      <c r="I60" s="97"/>
    </row>
    <row r="61" spans="1:9" ht="18" customHeight="1" x14ac:dyDescent="0.25">
      <c r="A61" s="97"/>
      <c r="B61" s="97"/>
      <c r="C61" s="97"/>
      <c r="D61" s="97"/>
      <c r="E61" s="97"/>
      <c r="F61" s="97"/>
      <c r="G61" s="76"/>
      <c r="H61" s="97"/>
      <c r="I61" s="97"/>
    </row>
    <row r="62" spans="1:9" ht="18" customHeight="1" x14ac:dyDescent="0.25">
      <c r="A62" s="97"/>
      <c r="B62" s="97"/>
      <c r="C62" s="97"/>
      <c r="D62" s="97"/>
      <c r="E62" s="97"/>
      <c r="F62" s="97"/>
      <c r="G62" s="76"/>
      <c r="H62" s="97"/>
      <c r="I62" s="97"/>
    </row>
    <row r="63" spans="1:9" ht="18" customHeight="1" x14ac:dyDescent="0.25">
      <c r="A63" s="97"/>
      <c r="B63" s="97"/>
      <c r="C63" s="140"/>
      <c r="D63" s="97"/>
      <c r="E63" s="97"/>
      <c r="F63" s="97"/>
      <c r="G63" s="76"/>
      <c r="H63" s="97"/>
      <c r="I63" s="97"/>
    </row>
    <row r="64" spans="1:9" ht="18" customHeight="1" x14ac:dyDescent="0.25">
      <c r="A64" s="825" t="s">
        <v>198</v>
      </c>
      <c r="B64" s="825"/>
      <c r="C64" s="825"/>
      <c r="D64" s="825"/>
      <c r="E64" s="825"/>
      <c r="F64" s="825"/>
      <c r="G64" s="825"/>
      <c r="H64" s="825"/>
      <c r="I64" s="825"/>
    </row>
    <row r="65" spans="1:9" ht="18" customHeight="1" x14ac:dyDescent="0.25">
      <c r="A65" s="823" t="s">
        <v>199</v>
      </c>
      <c r="B65" s="823"/>
      <c r="C65" s="823"/>
      <c r="D65" s="823"/>
      <c r="E65" s="823"/>
      <c r="F65" s="823"/>
      <c r="G65" s="823"/>
      <c r="H65" s="823"/>
      <c r="I65" s="823"/>
    </row>
    <row r="66" spans="1:9" ht="18" customHeight="1" x14ac:dyDescent="0.25">
      <c r="A66" s="823" t="s">
        <v>200</v>
      </c>
      <c r="B66" s="823"/>
      <c r="C66" s="823"/>
      <c r="D66" s="823"/>
      <c r="E66" s="823"/>
      <c r="F66" s="823"/>
      <c r="G66" s="823"/>
      <c r="H66" s="823"/>
      <c r="I66" s="823"/>
    </row>
    <row r="67" spans="1:9" ht="18" customHeight="1" x14ac:dyDescent="0.25">
      <c r="A67" s="823" t="s">
        <v>201</v>
      </c>
      <c r="B67" s="823"/>
      <c r="C67" s="823"/>
      <c r="D67" s="823"/>
      <c r="E67" s="823"/>
      <c r="F67" s="823"/>
      <c r="G67" s="823"/>
      <c r="H67" s="823"/>
      <c r="I67" s="823"/>
    </row>
    <row r="68" spans="1:9" ht="18" customHeight="1" x14ac:dyDescent="0.25">
      <c r="A68" s="823" t="s">
        <v>202</v>
      </c>
      <c r="B68" s="823"/>
      <c r="C68" s="823"/>
      <c r="D68" s="823"/>
      <c r="E68" s="823"/>
      <c r="F68" s="823"/>
      <c r="G68" s="823"/>
      <c r="H68" s="823"/>
      <c r="I68" s="823"/>
    </row>
    <row r="69" spans="1:9" ht="18" customHeight="1" x14ac:dyDescent="0.25">
      <c r="A69" s="823" t="s">
        <v>203</v>
      </c>
      <c r="B69" s="823"/>
      <c r="C69" s="823"/>
      <c r="D69" s="823"/>
      <c r="E69" s="823"/>
      <c r="F69" s="823"/>
      <c r="G69" s="823"/>
      <c r="H69" s="823"/>
      <c r="I69" s="823"/>
    </row>
    <row r="70" spans="1:9" ht="18" customHeight="1" x14ac:dyDescent="0.25">
      <c r="A70" s="823" t="s">
        <v>204</v>
      </c>
      <c r="B70" s="823"/>
      <c r="C70" s="823"/>
      <c r="D70" s="823"/>
      <c r="E70" s="823"/>
      <c r="F70" s="823"/>
      <c r="G70" s="823"/>
      <c r="H70" s="823"/>
      <c r="I70" s="823"/>
    </row>
    <row r="71" spans="1:9" ht="18" customHeight="1" x14ac:dyDescent="0.25">
      <c r="A71" s="116"/>
      <c r="B71" s="116"/>
      <c r="C71" s="116"/>
      <c r="D71" s="116"/>
      <c r="E71" s="116"/>
      <c r="F71" s="116"/>
      <c r="G71" s="116"/>
      <c r="H71" s="116"/>
      <c r="I71" s="116"/>
    </row>
    <row r="72" spans="1:9" ht="18" customHeight="1" x14ac:dyDescent="0.25">
      <c r="A72" s="97"/>
      <c r="B72" s="78"/>
      <c r="C72" s="78"/>
      <c r="D72" s="827" t="s">
        <v>175</v>
      </c>
      <c r="E72" s="827"/>
      <c r="F72" s="827"/>
      <c r="G72" s="827"/>
      <c r="H72" s="79"/>
      <c r="I72" s="79"/>
    </row>
    <row r="73" spans="1:9" ht="18" customHeight="1" x14ac:dyDescent="0.25">
      <c r="A73" s="97"/>
      <c r="B73" s="97"/>
      <c r="C73" s="97"/>
      <c r="D73" s="80"/>
      <c r="E73" s="80"/>
      <c r="F73" s="80"/>
      <c r="G73" s="81"/>
      <c r="H73" s="776" t="s">
        <v>63</v>
      </c>
      <c r="I73" s="776"/>
    </row>
    <row r="74" spans="1:9" ht="18" customHeight="1" x14ac:dyDescent="0.25">
      <c r="A74" s="116"/>
      <c r="B74" s="116"/>
      <c r="C74" s="116"/>
      <c r="D74" s="116"/>
      <c r="E74" s="116"/>
      <c r="F74" s="116"/>
      <c r="G74" s="116"/>
      <c r="H74" s="116"/>
      <c r="I74" s="116"/>
    </row>
    <row r="75" spans="1:9" ht="18" customHeight="1" x14ac:dyDescent="0.25">
      <c r="A75" s="116"/>
      <c r="B75" s="141" t="s">
        <v>189</v>
      </c>
      <c r="C75" s="828" t="s">
        <v>793</v>
      </c>
      <c r="D75" s="828"/>
      <c r="E75" s="826" t="s">
        <v>238</v>
      </c>
      <c r="F75" s="826"/>
      <c r="G75" s="826"/>
      <c r="H75" s="826"/>
      <c r="I75" s="826"/>
    </row>
    <row r="76" spans="1:9" ht="18" customHeight="1" x14ac:dyDescent="0.25">
      <c r="A76" s="826" t="s">
        <v>205</v>
      </c>
      <c r="B76" s="826"/>
      <c r="C76" s="826"/>
      <c r="D76" s="826"/>
      <c r="E76" s="826"/>
      <c r="F76" s="826"/>
      <c r="G76" s="826"/>
      <c r="H76" s="826"/>
      <c r="I76" s="826"/>
    </row>
    <row r="77" spans="1:9" ht="18" customHeight="1" x14ac:dyDescent="0.25">
      <c r="A77" s="826" t="s">
        <v>322</v>
      </c>
      <c r="B77" s="826"/>
      <c r="C77" s="826"/>
      <c r="D77" s="826"/>
      <c r="E77" s="826"/>
      <c r="F77" s="826"/>
      <c r="G77" s="826"/>
      <c r="H77" s="826"/>
      <c r="I77" s="826"/>
    </row>
    <row r="78" spans="1:9" ht="18" customHeight="1" x14ac:dyDescent="0.25">
      <c r="A78" s="116"/>
      <c r="B78" s="116"/>
      <c r="C78" s="116"/>
      <c r="D78" s="116"/>
      <c r="E78" s="116"/>
      <c r="F78" s="116"/>
      <c r="G78" s="116"/>
      <c r="H78" s="116"/>
      <c r="I78" s="116"/>
    </row>
    <row r="79" spans="1:9" ht="18" customHeight="1" x14ac:dyDescent="0.25">
      <c r="A79" s="97"/>
      <c r="B79" s="78"/>
      <c r="C79" s="78"/>
      <c r="D79" s="827" t="s">
        <v>175</v>
      </c>
      <c r="E79" s="827"/>
      <c r="F79" s="827"/>
      <c r="G79" s="827"/>
      <c r="H79" s="79"/>
      <c r="I79" s="79"/>
    </row>
    <row r="80" spans="1:9" ht="18" customHeight="1" x14ac:dyDescent="0.25">
      <c r="A80" s="97"/>
      <c r="B80" s="97"/>
      <c r="C80" s="97"/>
      <c r="D80" s="80"/>
      <c r="E80" s="80"/>
      <c r="F80" s="80"/>
      <c r="G80" s="81"/>
      <c r="H80" s="776" t="s">
        <v>63</v>
      </c>
      <c r="I80" s="776"/>
    </row>
    <row r="84" spans="7:9" ht="18" customHeight="1" x14ac:dyDescent="0.25">
      <c r="G84" s="795" t="s">
        <v>182</v>
      </c>
      <c r="H84" s="795"/>
      <c r="I84" s="795"/>
    </row>
    <row r="85" spans="7:9" ht="18" customHeight="1" x14ac:dyDescent="0.25">
      <c r="G85" s="795" t="s">
        <v>183</v>
      </c>
      <c r="H85" s="795"/>
      <c r="I85" s="795"/>
    </row>
    <row r="86" spans="7:9" ht="18" customHeight="1" x14ac:dyDescent="0.25">
      <c r="G86" s="795" t="s">
        <v>184</v>
      </c>
      <c r="H86" s="795"/>
      <c r="I86" s="795"/>
    </row>
    <row r="87" spans="7:9" ht="18" customHeight="1" x14ac:dyDescent="0.25">
      <c r="G87" s="795" t="s">
        <v>185</v>
      </c>
      <c r="H87" s="795"/>
      <c r="I87" s="795"/>
    </row>
    <row r="88" spans="7:9" ht="18" customHeight="1" x14ac:dyDescent="0.25">
      <c r="G88" s="795" t="s">
        <v>206</v>
      </c>
      <c r="H88" s="795"/>
      <c r="I88" s="795"/>
    </row>
    <row r="89" spans="7:9" ht="18" customHeight="1" x14ac:dyDescent="0.25">
      <c r="G89" s="795" t="s">
        <v>794</v>
      </c>
      <c r="H89" s="795"/>
      <c r="I89" s="795"/>
    </row>
    <row r="90" spans="7:9" ht="18" customHeight="1" x14ac:dyDescent="0.25">
      <c r="G90" s="783" t="s">
        <v>207</v>
      </c>
      <c r="H90" s="783"/>
      <c r="I90" s="783"/>
    </row>
    <row r="91" spans="7:9" ht="18" customHeight="1" x14ac:dyDescent="0.25">
      <c r="G91" s="795" t="s">
        <v>208</v>
      </c>
      <c r="H91" s="795"/>
      <c r="I91" s="795"/>
    </row>
    <row r="92" spans="7:9" ht="18" customHeight="1" x14ac:dyDescent="0.25">
      <c r="G92" s="795" t="s">
        <v>698</v>
      </c>
      <c r="H92" s="795"/>
      <c r="I92" s="795"/>
    </row>
    <row r="93" spans="7:9" ht="18" customHeight="1" x14ac:dyDescent="0.25">
      <c r="G93" s="795" t="s">
        <v>209</v>
      </c>
      <c r="H93" s="795"/>
      <c r="I93" s="795"/>
    </row>
    <row r="94" spans="7:9" ht="18" customHeight="1" x14ac:dyDescent="0.25">
      <c r="G94" s="795" t="s">
        <v>210</v>
      </c>
      <c r="H94" s="795"/>
      <c r="I94" s="795"/>
    </row>
    <row r="99" spans="1:9" ht="18" customHeight="1" x14ac:dyDescent="0.25">
      <c r="A99" s="520" t="s">
        <v>211</v>
      </c>
      <c r="B99" s="520"/>
      <c r="C99" s="520"/>
      <c r="D99" s="520"/>
      <c r="E99" s="520"/>
      <c r="F99" s="520"/>
      <c r="G99" s="520"/>
      <c r="H99" s="520"/>
      <c r="I99" s="520"/>
    </row>
    <row r="100" spans="1:9" ht="18" customHeight="1" x14ac:dyDescent="0.25">
      <c r="A100" s="66"/>
      <c r="B100" s="66"/>
      <c r="C100" s="66"/>
      <c r="D100" s="66"/>
      <c r="E100" s="66"/>
      <c r="F100" s="66"/>
      <c r="G100" s="66"/>
      <c r="H100" s="66"/>
      <c r="I100" s="66"/>
    </row>
    <row r="101" spans="1:9" ht="18" customHeight="1" x14ac:dyDescent="0.25">
      <c r="A101" s="795" t="s">
        <v>212</v>
      </c>
      <c r="B101" s="795"/>
      <c r="C101" s="795"/>
      <c r="D101" s="795"/>
      <c r="E101" s="795"/>
      <c r="F101" s="795"/>
      <c r="G101" s="795"/>
      <c r="H101" s="795"/>
      <c r="I101" s="795"/>
    </row>
    <row r="102" spans="1:9" ht="18" customHeight="1" x14ac:dyDescent="0.25">
      <c r="A102" s="795" t="s">
        <v>213</v>
      </c>
      <c r="B102" s="795"/>
      <c r="C102" s="795"/>
      <c r="D102" s="795"/>
      <c r="E102" s="795"/>
      <c r="F102" s="795"/>
      <c r="G102" s="795"/>
      <c r="H102" s="795"/>
      <c r="I102" s="795"/>
    </row>
    <row r="103" spans="1:9" ht="18" customHeight="1" x14ac:dyDescent="0.25">
      <c r="A103" s="795" t="s">
        <v>214</v>
      </c>
      <c r="B103" s="795"/>
      <c r="C103" s="795"/>
      <c r="D103" s="795"/>
      <c r="E103" s="795"/>
      <c r="F103" s="795"/>
      <c r="G103" s="795"/>
      <c r="H103" s="795"/>
      <c r="I103" s="795"/>
    </row>
    <row r="104" spans="1:9" ht="18" customHeight="1" x14ac:dyDescent="0.25">
      <c r="A104" s="795" t="s">
        <v>215</v>
      </c>
      <c r="B104" s="795"/>
      <c r="C104" s="795"/>
      <c r="D104" s="795"/>
      <c r="E104" s="795"/>
      <c r="F104" s="828" t="str">
        <f>I52</f>
        <v xml:space="preserve">г. Бишкек </v>
      </c>
      <c r="G104" s="828"/>
      <c r="H104" s="830" t="str">
        <f>A53</f>
        <v>ул. Лермонтова д.№ 68</v>
      </c>
      <c r="I104" s="830"/>
    </row>
    <row r="105" spans="1:9" ht="18" customHeight="1" x14ac:dyDescent="0.25">
      <c r="A105" s="782">
        <f ca="1">C51</f>
        <v>45982</v>
      </c>
      <c r="B105" s="782"/>
      <c r="C105" s="795" t="s">
        <v>216</v>
      </c>
      <c r="D105" s="795"/>
      <c r="E105" s="74">
        <f ca="1">G51</f>
        <v>45982.790570370373</v>
      </c>
      <c r="F105" s="795" t="s">
        <v>217</v>
      </c>
      <c r="G105" s="795"/>
      <c r="H105" s="795"/>
      <c r="I105" s="795"/>
    </row>
    <row r="106" spans="1:9" ht="18" customHeight="1" x14ac:dyDescent="0.25">
      <c r="A106" s="795" t="s">
        <v>218</v>
      </c>
      <c r="B106" s="795"/>
      <c r="C106" s="795"/>
      <c r="D106" s="795"/>
      <c r="E106" s="795"/>
      <c r="F106" s="66" t="s">
        <v>219</v>
      </c>
      <c r="G106" s="795" t="s">
        <v>220</v>
      </c>
      <c r="H106" s="795"/>
      <c r="I106" s="795"/>
    </row>
    <row r="107" spans="1:9" ht="18" customHeight="1" x14ac:dyDescent="0.25">
      <c r="A107" s="795" t="s">
        <v>221</v>
      </c>
      <c r="B107" s="795"/>
      <c r="C107" s="795"/>
      <c r="D107" s="795"/>
      <c r="E107" s="795"/>
      <c r="F107" s="795"/>
      <c r="G107" s="795"/>
      <c r="H107" s="795"/>
      <c r="I107" s="795"/>
    </row>
    <row r="108" spans="1:9" ht="18" customHeight="1" x14ac:dyDescent="0.25">
      <c r="A108" s="97" t="s">
        <v>222</v>
      </c>
      <c r="B108" s="829" t="str">
        <f>A54</f>
        <v>{{TOOL_NAME}}</v>
      </c>
      <c r="C108" s="829"/>
      <c r="D108" s="829"/>
      <c r="E108" s="829"/>
      <c r="F108" s="829"/>
      <c r="G108" s="829"/>
      <c r="H108" s="829"/>
      <c r="I108" s="829"/>
    </row>
    <row r="109" spans="1:9" ht="18" customHeight="1" x14ac:dyDescent="0.25">
      <c r="A109" s="783" t="s">
        <v>232</v>
      </c>
      <c r="B109" s="783"/>
      <c r="C109" s="783"/>
      <c r="D109" s="783"/>
      <c r="E109" s="783"/>
      <c r="F109" s="783"/>
      <c r="G109" s="783"/>
      <c r="H109" s="783"/>
      <c r="I109" s="783"/>
    </row>
    <row r="110" spans="1:9" ht="18" customHeight="1" x14ac:dyDescent="0.25">
      <c r="A110" s="795" t="s">
        <v>223</v>
      </c>
      <c r="B110" s="795"/>
      <c r="C110" s="795"/>
      <c r="D110" s="795"/>
      <c r="E110" s="795"/>
      <c r="F110" s="795"/>
      <c r="G110" s="795"/>
      <c r="H110" s="795"/>
      <c r="I110" s="795"/>
    </row>
    <row r="111" spans="1:9" ht="18" customHeight="1" x14ac:dyDescent="0.25">
      <c r="A111" s="795" t="s">
        <v>233</v>
      </c>
      <c r="B111" s="795"/>
      <c r="C111" s="795"/>
      <c r="D111" s="795"/>
      <c r="E111" s="795"/>
      <c r="F111" s="795"/>
      <c r="G111" s="520" t="e">
        <f>A57</f>
        <v>#VALUE!</v>
      </c>
      <c r="H111" s="520"/>
      <c r="I111" s="520"/>
    </row>
    <row r="112" spans="1:9" ht="18" customHeight="1" x14ac:dyDescent="0.25">
      <c r="A112" s="795" t="s">
        <v>224</v>
      </c>
      <c r="B112" s="795"/>
      <c r="C112" s="795"/>
      <c r="D112" s="795"/>
      <c r="E112" s="795"/>
      <c r="F112" s="66">
        <v>4</v>
      </c>
      <c r="G112" s="795" t="s">
        <v>664</v>
      </c>
      <c r="H112" s="795"/>
      <c r="I112" s="795"/>
    </row>
    <row r="113" spans="1:9" ht="18" customHeight="1" x14ac:dyDescent="0.25">
      <c r="A113" s="97" t="s">
        <v>225</v>
      </c>
      <c r="B113" s="520" t="e">
        <f>G111</f>
        <v>#VALUE!</v>
      </c>
      <c r="C113" s="520"/>
      <c r="D113" s="520"/>
      <c r="E113" s="795" t="s">
        <v>226</v>
      </c>
      <c r="F113" s="795"/>
      <c r="G113" s="795"/>
      <c r="H113" s="795"/>
      <c r="I113" s="795"/>
    </row>
    <row r="114" spans="1:9" ht="18" customHeight="1" x14ac:dyDescent="0.25">
      <c r="A114" s="795" t="s">
        <v>611</v>
      </c>
      <c r="B114" s="795"/>
      <c r="C114" s="795"/>
      <c r="D114" s="795"/>
      <c r="E114" s="795"/>
      <c r="F114" s="795"/>
      <c r="G114" s="795"/>
      <c r="H114" s="795"/>
      <c r="I114" s="795"/>
    </row>
    <row r="115" spans="1:9" ht="18" customHeight="1" x14ac:dyDescent="0.25">
      <c r="A115" s="795" t="s">
        <v>227</v>
      </c>
      <c r="B115" s="795"/>
      <c r="C115" s="795"/>
      <c r="D115" s="795"/>
      <c r="E115" s="795"/>
      <c r="F115" s="795"/>
      <c r="G115" s="795"/>
      <c r="H115" s="795"/>
      <c r="I115" s="795"/>
    </row>
    <row r="116" spans="1:9" ht="18" customHeight="1" x14ac:dyDescent="0.25">
      <c r="A116" s="795" t="s">
        <v>610</v>
      </c>
      <c r="B116" s="795"/>
      <c r="C116" s="795"/>
      <c r="D116" s="795"/>
      <c r="E116" s="795"/>
      <c r="F116" s="795"/>
      <c r="G116" s="795"/>
      <c r="H116" s="795"/>
      <c r="I116" s="795"/>
    </row>
    <row r="117" spans="1:9" ht="18" customHeight="1" x14ac:dyDescent="0.25">
      <c r="A117" s="795" t="s">
        <v>228</v>
      </c>
      <c r="B117" s="795"/>
      <c r="C117" s="795"/>
      <c r="D117" s="795"/>
      <c r="E117" s="795"/>
      <c r="F117" s="795"/>
      <c r="G117" s="795"/>
      <c r="H117" s="795"/>
      <c r="I117" s="795"/>
    </row>
    <row r="118" spans="1:9" ht="18" customHeight="1" x14ac:dyDescent="0.25">
      <c r="A118" s="783"/>
      <c r="B118" s="783"/>
      <c r="C118" s="783"/>
      <c r="D118" s="783"/>
      <c r="E118" s="783"/>
      <c r="F118" s="783"/>
      <c r="G118" s="783"/>
      <c r="H118" s="783"/>
      <c r="I118" s="783"/>
    </row>
    <row r="119" spans="1:9" ht="18" customHeight="1" x14ac:dyDescent="0.25">
      <c r="A119" s="783"/>
      <c r="B119" s="783"/>
      <c r="C119" s="783"/>
      <c r="D119" s="783"/>
      <c r="E119" s="783"/>
      <c r="F119" s="783"/>
      <c r="G119" s="783"/>
      <c r="H119" s="783"/>
      <c r="I119" s="783"/>
    </row>
    <row r="120" spans="1:9" ht="18" customHeight="1" x14ac:dyDescent="0.25">
      <c r="A120" s="783"/>
      <c r="B120" s="783"/>
      <c r="C120" s="783"/>
      <c r="D120" s="783"/>
      <c r="E120" s="783"/>
      <c r="F120" s="783"/>
      <c r="G120" s="783"/>
      <c r="H120" s="783"/>
      <c r="I120" s="783"/>
    </row>
    <row r="121" spans="1:9" ht="18" customHeight="1" x14ac:dyDescent="0.25">
      <c r="A121" s="783"/>
      <c r="B121" s="783"/>
      <c r="C121" s="783"/>
      <c r="D121" s="783"/>
      <c r="E121" s="783"/>
      <c r="F121" s="783"/>
      <c r="G121" s="783"/>
      <c r="H121" s="783"/>
      <c r="I121" s="783"/>
    </row>
    <row r="122" spans="1:9" ht="18" customHeight="1" x14ac:dyDescent="0.25">
      <c r="A122" s="783"/>
      <c r="B122" s="783"/>
      <c r="C122" s="783"/>
      <c r="D122" s="783"/>
      <c r="E122" s="783"/>
      <c r="F122" s="783"/>
      <c r="G122" s="783"/>
      <c r="H122" s="783"/>
      <c r="I122" s="783"/>
    </row>
    <row r="123" spans="1:9" ht="18" customHeight="1" x14ac:dyDescent="0.25">
      <c r="A123" s="783" t="s">
        <v>229</v>
      </c>
      <c r="B123" s="783"/>
      <c r="C123" s="783"/>
      <c r="D123" s="783"/>
      <c r="E123" s="783"/>
      <c r="F123" s="783"/>
      <c r="G123" s="783"/>
      <c r="H123" s="783"/>
      <c r="I123" s="783"/>
    </row>
    <row r="124" spans="1:9" ht="18" customHeight="1" x14ac:dyDescent="0.25">
      <c r="A124" s="98"/>
      <c r="B124" s="98"/>
      <c r="C124" s="98"/>
      <c r="D124" s="98"/>
      <c r="E124" s="98"/>
      <c r="F124" s="98"/>
      <c r="G124" s="98"/>
      <c r="H124" s="98"/>
      <c r="I124" s="98"/>
    </row>
    <row r="125" spans="1:9" ht="18" customHeight="1" x14ac:dyDescent="0.25">
      <c r="B125" s="73"/>
      <c r="C125" s="73"/>
      <c r="D125" s="775" t="s">
        <v>787</v>
      </c>
      <c r="E125" s="775"/>
      <c r="F125" s="775"/>
      <c r="G125" s="775"/>
      <c r="H125" s="70"/>
      <c r="I125" s="70"/>
    </row>
    <row r="126" spans="1:9" ht="18" customHeight="1" x14ac:dyDescent="0.25">
      <c r="D126" s="65"/>
      <c r="E126" s="65"/>
      <c r="F126" s="65"/>
      <c r="G126" s="71"/>
      <c r="H126" s="776" t="s">
        <v>63</v>
      </c>
      <c r="I126" s="776"/>
    </row>
  </sheetData>
  <mergeCells count="137">
    <mergeCell ref="A122:I122"/>
    <mergeCell ref="A123:I123"/>
    <mergeCell ref="D125:G125"/>
    <mergeCell ref="H126:I126"/>
    <mergeCell ref="A104:E104"/>
    <mergeCell ref="F104:G104"/>
    <mergeCell ref="A117:I117"/>
    <mergeCell ref="A118:I118"/>
    <mergeCell ref="A119:I119"/>
    <mergeCell ref="A120:I120"/>
    <mergeCell ref="A121:I121"/>
    <mergeCell ref="B113:D113"/>
    <mergeCell ref="E113:I113"/>
    <mergeCell ref="A114:I114"/>
    <mergeCell ref="A115:I115"/>
    <mergeCell ref="A116:I116"/>
    <mergeCell ref="A110:I110"/>
    <mergeCell ref="A111:F111"/>
    <mergeCell ref="G111:I111"/>
    <mergeCell ref="A112:E112"/>
    <mergeCell ref="G112:I112"/>
    <mergeCell ref="A106:E106"/>
    <mergeCell ref="G106:I106"/>
    <mergeCell ref="A107:I107"/>
    <mergeCell ref="B108:I108"/>
    <mergeCell ref="A109:I109"/>
    <mergeCell ref="A105:B105"/>
    <mergeCell ref="C105:D105"/>
    <mergeCell ref="F105:I105"/>
    <mergeCell ref="A101:I101"/>
    <mergeCell ref="A102:I102"/>
    <mergeCell ref="A103:I103"/>
    <mergeCell ref="H104:I104"/>
    <mergeCell ref="G91:I91"/>
    <mergeCell ref="G92:I92"/>
    <mergeCell ref="G93:I93"/>
    <mergeCell ref="G94:I94"/>
    <mergeCell ref="A99:I99"/>
    <mergeCell ref="G86:I86"/>
    <mergeCell ref="G87:I87"/>
    <mergeCell ref="G88:I88"/>
    <mergeCell ref="G89:I89"/>
    <mergeCell ref="G90:I90"/>
    <mergeCell ref="A77:I77"/>
    <mergeCell ref="D79:G79"/>
    <mergeCell ref="H80:I80"/>
    <mergeCell ref="G84:I84"/>
    <mergeCell ref="G85:I85"/>
    <mergeCell ref="D72:G72"/>
    <mergeCell ref="H73:I73"/>
    <mergeCell ref="C75:D75"/>
    <mergeCell ref="E75:I75"/>
    <mergeCell ref="A76:I76"/>
    <mergeCell ref="A66:I66"/>
    <mergeCell ref="A67:I67"/>
    <mergeCell ref="A68:I68"/>
    <mergeCell ref="A69:I69"/>
    <mergeCell ref="A70:I70"/>
    <mergeCell ref="A57:D57"/>
    <mergeCell ref="E57:I57"/>
    <mergeCell ref="A58:C58"/>
    <mergeCell ref="A64:I64"/>
    <mergeCell ref="A65:I65"/>
    <mergeCell ref="A55:E55"/>
    <mergeCell ref="F55:G55"/>
    <mergeCell ref="H55:I55"/>
    <mergeCell ref="A56:E56"/>
    <mergeCell ref="F56:G56"/>
    <mergeCell ref="H56:I56"/>
    <mergeCell ref="H51:I51"/>
    <mergeCell ref="A52:H52"/>
    <mergeCell ref="A53:C53"/>
    <mergeCell ref="D53:I53"/>
    <mergeCell ref="A54:I54"/>
    <mergeCell ref="A50:C50"/>
    <mergeCell ref="D50:G50"/>
    <mergeCell ref="A51:B51"/>
    <mergeCell ref="C51:D51"/>
    <mergeCell ref="E51:F51"/>
    <mergeCell ref="G42:I42"/>
    <mergeCell ref="A46:I46"/>
    <mergeCell ref="A47:I47"/>
    <mergeCell ref="C49:F49"/>
    <mergeCell ref="G49:I49"/>
    <mergeCell ref="G37:I37"/>
    <mergeCell ref="G38:I38"/>
    <mergeCell ref="G39:I39"/>
    <mergeCell ref="G40:I40"/>
    <mergeCell ref="G41:I41"/>
    <mergeCell ref="B6:E6"/>
    <mergeCell ref="F6:I6"/>
    <mergeCell ref="A2:I2"/>
    <mergeCell ref="B4:E4"/>
    <mergeCell ref="F4:I4"/>
    <mergeCell ref="B5:E5"/>
    <mergeCell ref="F5:I5"/>
    <mergeCell ref="B7:E7"/>
    <mergeCell ref="F7:I7"/>
    <mergeCell ref="B8:E8"/>
    <mergeCell ref="F8:I8"/>
    <mergeCell ref="B9:E9"/>
    <mergeCell ref="F9:I9"/>
    <mergeCell ref="B10:E10"/>
    <mergeCell ref="F10:I10"/>
    <mergeCell ref="B11:E11"/>
    <mergeCell ref="F11:I11"/>
    <mergeCell ref="B12:E12"/>
    <mergeCell ref="F12:I12"/>
    <mergeCell ref="B13:E13"/>
    <mergeCell ref="F13:I13"/>
    <mergeCell ref="B14:E14"/>
    <mergeCell ref="F14:I14"/>
    <mergeCell ref="B15:E15"/>
    <mergeCell ref="F15:I15"/>
    <mergeCell ref="B16:E16"/>
    <mergeCell ref="F16:I16"/>
    <mergeCell ref="B17:E17"/>
    <mergeCell ref="F17:I17"/>
    <mergeCell ref="B18:E18"/>
    <mergeCell ref="F18:I18"/>
    <mergeCell ref="B19:E19"/>
    <mergeCell ref="F19:I19"/>
    <mergeCell ref="B20:E20"/>
    <mergeCell ref="F20:I20"/>
    <mergeCell ref="B21:E21"/>
    <mergeCell ref="F21:I21"/>
    <mergeCell ref="A29:I29"/>
    <mergeCell ref="A30:I30"/>
    <mergeCell ref="A31:I31"/>
    <mergeCell ref="A33:I33"/>
    <mergeCell ref="A22:I22"/>
    <mergeCell ref="A23:I23"/>
    <mergeCell ref="A24:I24"/>
    <mergeCell ref="D25:G25"/>
    <mergeCell ref="H26:I26"/>
    <mergeCell ref="A27:D27"/>
    <mergeCell ref="G27:I27"/>
  </mergeCells>
  <pageMargins left="1.2598425196850394" right="0.39370078740157483" top="0.55118110236220474" bottom="0.15748031496062992" header="0.31496062992125984" footer="0.31496062992125984"/>
  <pageSetup paperSize="9" scale="9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55"/>
  <sheetViews>
    <sheetView topLeftCell="A10" zoomScale="120" zoomScaleNormal="120" workbookViewId="0">
      <selection activeCell="B55" sqref="B55"/>
    </sheetView>
  </sheetViews>
  <sheetFormatPr defaultRowHeight="15" x14ac:dyDescent="0.25"/>
  <cols>
    <col min="1" max="1" width="6" customWidth="1"/>
    <col min="2" max="2" width="64.28515625" customWidth="1"/>
    <col min="3" max="3" width="74.140625" customWidth="1"/>
    <col min="4" max="4" width="75.28515625" customWidth="1"/>
  </cols>
  <sheetData>
    <row r="1" spans="2:4" x14ac:dyDescent="0.25">
      <c r="B1" s="246" t="s">
        <v>715</v>
      </c>
      <c r="C1" s="246" t="s">
        <v>721</v>
      </c>
      <c r="D1" s="246" t="s">
        <v>725</v>
      </c>
    </row>
    <row r="2" spans="2:4" x14ac:dyDescent="0.25">
      <c r="B2" s="246" t="s">
        <v>729</v>
      </c>
      <c r="C2" s="246" t="s">
        <v>729</v>
      </c>
      <c r="D2" s="246" t="s">
        <v>729</v>
      </c>
    </row>
    <row r="3" spans="2:4" x14ac:dyDescent="0.25">
      <c r="B3" s="246" t="s">
        <v>728</v>
      </c>
      <c r="C3" s="246" t="s">
        <v>728</v>
      </c>
      <c r="D3" s="246" t="s">
        <v>728</v>
      </c>
    </row>
    <row r="4" spans="2:4" x14ac:dyDescent="0.25">
      <c r="B4" t="s">
        <v>699</v>
      </c>
      <c r="C4" t="s">
        <v>699</v>
      </c>
      <c r="D4" t="s">
        <v>699</v>
      </c>
    </row>
    <row r="5" spans="2:4" x14ac:dyDescent="0.25">
      <c r="B5" t="s">
        <v>700</v>
      </c>
      <c r="C5" t="s">
        <v>716</v>
      </c>
      <c r="D5" t="s">
        <v>722</v>
      </c>
    </row>
    <row r="6" spans="2:4" x14ac:dyDescent="0.25">
      <c r="B6" t="s">
        <v>701</v>
      </c>
      <c r="C6" t="s">
        <v>717</v>
      </c>
      <c r="D6" t="s">
        <v>723</v>
      </c>
    </row>
    <row r="7" spans="2:4" x14ac:dyDescent="0.25">
      <c r="B7" t="s">
        <v>702</v>
      </c>
      <c r="C7" t="s">
        <v>718</v>
      </c>
      <c r="D7" t="s">
        <v>718</v>
      </c>
    </row>
    <row r="8" spans="2:4" x14ac:dyDescent="0.25">
      <c r="B8" t="s">
        <v>703</v>
      </c>
      <c r="C8" t="s">
        <v>719</v>
      </c>
      <c r="D8" t="s">
        <v>719</v>
      </c>
    </row>
    <row r="9" spans="2:4" x14ac:dyDescent="0.25">
      <c r="B9" t="s">
        <v>704</v>
      </c>
      <c r="C9" t="s">
        <v>720</v>
      </c>
      <c r="D9" t="s">
        <v>724</v>
      </c>
    </row>
    <row r="10" spans="2:4" x14ac:dyDescent="0.25">
      <c r="B10" t="s">
        <v>705</v>
      </c>
      <c r="C10" t="s">
        <v>705</v>
      </c>
      <c r="D10" t="s">
        <v>705</v>
      </c>
    </row>
    <row r="11" spans="2:4" x14ac:dyDescent="0.25">
      <c r="B11" t="s">
        <v>706</v>
      </c>
      <c r="C11" t="s">
        <v>706</v>
      </c>
      <c r="D11" t="s">
        <v>706</v>
      </c>
    </row>
    <row r="12" spans="2:4" x14ac:dyDescent="0.25">
      <c r="B12" t="s">
        <v>707</v>
      </c>
      <c r="C12" t="s">
        <v>707</v>
      </c>
      <c r="D12" t="s">
        <v>707</v>
      </c>
    </row>
    <row r="13" spans="2:4" x14ac:dyDescent="0.25">
      <c r="B13" t="s">
        <v>708</v>
      </c>
      <c r="C13" t="s">
        <v>708</v>
      </c>
      <c r="D13" t="s">
        <v>708</v>
      </c>
    </row>
    <row r="14" spans="2:4" x14ac:dyDescent="0.25">
      <c r="B14" t="s">
        <v>709</v>
      </c>
      <c r="C14" t="s">
        <v>709</v>
      </c>
      <c r="D14" t="s">
        <v>709</v>
      </c>
    </row>
    <row r="15" spans="2:4" x14ac:dyDescent="0.25">
      <c r="B15" t="s">
        <v>710</v>
      </c>
      <c r="C15" t="s">
        <v>710</v>
      </c>
      <c r="D15" t="s">
        <v>710</v>
      </c>
    </row>
    <row r="16" spans="2:4" x14ac:dyDescent="0.25">
      <c r="B16" t="s">
        <v>711</v>
      </c>
      <c r="C16" t="s">
        <v>711</v>
      </c>
      <c r="D16" t="s">
        <v>711</v>
      </c>
    </row>
    <row r="17" spans="1:4" x14ac:dyDescent="0.25">
      <c r="B17" t="s">
        <v>712</v>
      </c>
      <c r="C17" t="s">
        <v>712</v>
      </c>
      <c r="D17" t="s">
        <v>712</v>
      </c>
    </row>
    <row r="18" spans="1:4" x14ac:dyDescent="0.25">
      <c r="B18" t="s">
        <v>713</v>
      </c>
      <c r="C18" t="s">
        <v>713</v>
      </c>
      <c r="D18" t="s">
        <v>713</v>
      </c>
    </row>
    <row r="19" spans="1:4" ht="15.75" thickBot="1" x14ac:dyDescent="0.3">
      <c r="B19" t="s">
        <v>714</v>
      </c>
      <c r="C19" t="s">
        <v>714</v>
      </c>
      <c r="D19" t="s">
        <v>714</v>
      </c>
    </row>
    <row r="20" spans="1:4" ht="32.25" thickBot="1" x14ac:dyDescent="0.55000000000000004">
      <c r="A20" s="832" t="s">
        <v>764</v>
      </c>
      <c r="B20" s="833"/>
      <c r="C20" s="833"/>
      <c r="D20" s="834"/>
    </row>
    <row r="21" spans="1:4" ht="27" thickBot="1" x14ac:dyDescent="0.45">
      <c r="A21" s="262"/>
      <c r="B21" s="263" t="s">
        <v>734</v>
      </c>
      <c r="C21" s="263" t="s">
        <v>735</v>
      </c>
      <c r="D21" s="264" t="s">
        <v>736</v>
      </c>
    </row>
    <row r="22" spans="1:4" x14ac:dyDescent="0.25">
      <c r="A22" s="259">
        <v>1</v>
      </c>
      <c r="B22" s="260" t="s">
        <v>727</v>
      </c>
      <c r="C22" s="260" t="s">
        <v>731</v>
      </c>
      <c r="D22" s="261" t="s">
        <v>733</v>
      </c>
    </row>
    <row r="23" spans="1:4" x14ac:dyDescent="0.25">
      <c r="A23" s="247">
        <v>2</v>
      </c>
      <c r="B23" s="252" t="s">
        <v>726</v>
      </c>
      <c r="C23" s="252" t="s">
        <v>738</v>
      </c>
      <c r="D23" s="253" t="s">
        <v>737</v>
      </c>
    </row>
    <row r="24" spans="1:4" ht="30" x14ac:dyDescent="0.25">
      <c r="A24" s="247">
        <v>3</v>
      </c>
      <c r="B24" s="252" t="s">
        <v>730</v>
      </c>
      <c r="C24" s="252" t="s">
        <v>739</v>
      </c>
      <c r="D24" s="253" t="s">
        <v>741</v>
      </c>
    </row>
    <row r="25" spans="1:4" x14ac:dyDescent="0.25">
      <c r="A25" s="247">
        <v>4</v>
      </c>
      <c r="B25" s="252" t="s">
        <v>732</v>
      </c>
      <c r="C25" s="252" t="s">
        <v>740</v>
      </c>
      <c r="D25" s="253" t="s">
        <v>745</v>
      </c>
    </row>
    <row r="26" spans="1:4" ht="30" x14ac:dyDescent="0.25">
      <c r="A26" s="247">
        <v>5</v>
      </c>
      <c r="B26" s="252" t="s">
        <v>742</v>
      </c>
      <c r="C26" s="252" t="s">
        <v>752</v>
      </c>
      <c r="D26" s="253" t="s">
        <v>744</v>
      </c>
    </row>
    <row r="27" spans="1:4" ht="45" x14ac:dyDescent="0.25">
      <c r="A27" s="247">
        <v>6</v>
      </c>
      <c r="B27" s="252" t="s">
        <v>743</v>
      </c>
      <c r="C27" s="252" t="s">
        <v>756</v>
      </c>
      <c r="D27" s="253" t="s">
        <v>753</v>
      </c>
    </row>
    <row r="28" spans="1:4" ht="30" x14ac:dyDescent="0.25">
      <c r="A28" s="247">
        <v>7</v>
      </c>
      <c r="B28" s="252" t="s">
        <v>770</v>
      </c>
      <c r="C28" s="252" t="s">
        <v>757</v>
      </c>
      <c r="D28" s="253" t="s">
        <v>754</v>
      </c>
    </row>
    <row r="29" spans="1:4" x14ac:dyDescent="0.25">
      <c r="A29" s="247">
        <v>8</v>
      </c>
      <c r="B29" s="252"/>
      <c r="C29" s="252" t="s">
        <v>758</v>
      </c>
      <c r="D29" s="253" t="s">
        <v>755</v>
      </c>
    </row>
    <row r="30" spans="1:4" ht="30" x14ac:dyDescent="0.25">
      <c r="A30" s="247">
        <v>9</v>
      </c>
      <c r="B30" s="252"/>
      <c r="C30" s="252" t="s">
        <v>759</v>
      </c>
      <c r="D30" s="253" t="s">
        <v>763</v>
      </c>
    </row>
    <row r="31" spans="1:4" x14ac:dyDescent="0.25">
      <c r="A31" s="247">
        <v>10</v>
      </c>
      <c r="B31" s="252"/>
      <c r="C31" s="252" t="s">
        <v>760</v>
      </c>
      <c r="D31" s="265" t="s">
        <v>746</v>
      </c>
    </row>
    <row r="32" spans="1:4" x14ac:dyDescent="0.25">
      <c r="A32" s="247">
        <v>11</v>
      </c>
      <c r="B32" s="252"/>
      <c r="C32" s="252" t="s">
        <v>761</v>
      </c>
      <c r="D32" s="265" t="s">
        <v>747</v>
      </c>
    </row>
    <row r="33" spans="1:4" x14ac:dyDescent="0.25">
      <c r="A33" s="247">
        <v>12</v>
      </c>
      <c r="B33" s="252"/>
      <c r="C33" s="254" t="s">
        <v>762</v>
      </c>
      <c r="D33" s="265" t="s">
        <v>748</v>
      </c>
    </row>
    <row r="34" spans="1:4" x14ac:dyDescent="0.25">
      <c r="A34" s="247">
        <v>13</v>
      </c>
      <c r="B34" s="252"/>
      <c r="C34" s="252"/>
      <c r="D34" s="257" t="s">
        <v>750</v>
      </c>
    </row>
    <row r="35" spans="1:4" x14ac:dyDescent="0.25">
      <c r="A35" s="247">
        <v>14</v>
      </c>
      <c r="B35" s="252"/>
      <c r="C35" s="252"/>
      <c r="D35" s="253" t="s">
        <v>751</v>
      </c>
    </row>
    <row r="36" spans="1:4" x14ac:dyDescent="0.25">
      <c r="A36" s="247">
        <v>15</v>
      </c>
      <c r="B36" s="269"/>
      <c r="C36" s="269"/>
      <c r="D36" s="270"/>
    </row>
    <row r="37" spans="1:4" x14ac:dyDescent="0.25">
      <c r="A37" s="247">
        <v>16</v>
      </c>
      <c r="B37" s="271" t="s">
        <v>770</v>
      </c>
      <c r="C37" s="271" t="s">
        <v>770</v>
      </c>
      <c r="D37" s="253"/>
    </row>
    <row r="38" spans="1:4" x14ac:dyDescent="0.25">
      <c r="A38" s="247">
        <v>17</v>
      </c>
      <c r="B38" s="260" t="s">
        <v>774</v>
      </c>
      <c r="C38" s="252" t="s">
        <v>777</v>
      </c>
      <c r="D38" s="253"/>
    </row>
    <row r="39" spans="1:4" x14ac:dyDescent="0.25">
      <c r="A39" s="247">
        <v>18</v>
      </c>
      <c r="B39" s="252" t="s">
        <v>775</v>
      </c>
      <c r="C39" s="252" t="s">
        <v>778</v>
      </c>
      <c r="D39" s="253"/>
    </row>
    <row r="40" spans="1:4" ht="30" x14ac:dyDescent="0.25">
      <c r="A40" s="247">
        <v>19</v>
      </c>
      <c r="B40" s="252" t="s">
        <v>730</v>
      </c>
      <c r="C40" s="252"/>
      <c r="D40" s="253"/>
    </row>
    <row r="41" spans="1:4" x14ac:dyDescent="0.25">
      <c r="A41" s="247">
        <v>20</v>
      </c>
      <c r="B41" s="252" t="s">
        <v>776</v>
      </c>
      <c r="C41" s="252"/>
      <c r="D41" s="253"/>
    </row>
    <row r="42" spans="1:4" x14ac:dyDescent="0.25">
      <c r="A42" s="247">
        <v>21</v>
      </c>
      <c r="B42" s="252"/>
      <c r="C42" s="252"/>
      <c r="D42" s="253"/>
    </row>
    <row r="43" spans="1:4" x14ac:dyDescent="0.25">
      <c r="A43" s="247">
        <v>22</v>
      </c>
      <c r="B43" s="252"/>
      <c r="C43" s="252"/>
      <c r="D43" s="253"/>
    </row>
    <row r="44" spans="1:4" x14ac:dyDescent="0.25">
      <c r="A44" s="247">
        <v>23</v>
      </c>
      <c r="B44" s="252"/>
      <c r="C44" s="252"/>
      <c r="D44" s="253"/>
    </row>
    <row r="45" spans="1:4" ht="15.75" thickBot="1" x14ac:dyDescent="0.3">
      <c r="A45" s="247">
        <v>24</v>
      </c>
      <c r="B45" s="252"/>
      <c r="C45" s="252"/>
      <c r="D45" s="258"/>
    </row>
    <row r="46" spans="1:4" x14ac:dyDescent="0.25">
      <c r="A46" s="247">
        <v>25</v>
      </c>
      <c r="B46" s="252"/>
      <c r="C46" s="252"/>
    </row>
    <row r="47" spans="1:4" x14ac:dyDescent="0.25">
      <c r="A47" s="247">
        <v>26</v>
      </c>
      <c r="B47" s="252"/>
      <c r="C47" s="252"/>
    </row>
    <row r="48" spans="1:4" ht="15.75" thickBot="1" x14ac:dyDescent="0.3">
      <c r="A48" s="248">
        <v>27</v>
      </c>
      <c r="B48" s="255"/>
      <c r="C48" s="255"/>
    </row>
    <row r="49" spans="1:3" ht="15.75" thickBot="1" x14ac:dyDescent="0.3">
      <c r="B49" s="256" t="s">
        <v>749</v>
      </c>
      <c r="C49" s="250" t="s">
        <v>284</v>
      </c>
    </row>
    <row r="50" spans="1:3" x14ac:dyDescent="0.25">
      <c r="A50" s="249">
        <v>1</v>
      </c>
      <c r="B50" s="23" t="s">
        <v>773</v>
      </c>
    </row>
    <row r="51" spans="1:3" ht="30.75" thickBot="1" x14ac:dyDescent="0.3">
      <c r="A51" s="249">
        <v>2</v>
      </c>
      <c r="B51" s="251" t="s">
        <v>772</v>
      </c>
    </row>
    <row r="52" spans="1:3" x14ac:dyDescent="0.25">
      <c r="A52" s="831">
        <v>3</v>
      </c>
      <c r="B52" s="266" t="s">
        <v>765</v>
      </c>
      <c r="C52" t="s">
        <v>771</v>
      </c>
    </row>
    <row r="53" spans="1:3" x14ac:dyDescent="0.25">
      <c r="A53" s="831"/>
      <c r="B53" s="267" t="s">
        <v>766</v>
      </c>
      <c r="C53" t="s">
        <v>769</v>
      </c>
    </row>
    <row r="54" spans="1:3" x14ac:dyDescent="0.25">
      <c r="A54" s="831"/>
      <c r="B54" s="267" t="s">
        <v>767</v>
      </c>
      <c r="C54" t="s">
        <v>770</v>
      </c>
    </row>
    <row r="55" spans="1:3" ht="15.75" thickBot="1" x14ac:dyDescent="0.3">
      <c r="A55" s="831"/>
      <c r="B55" s="268" t="s">
        <v>768</v>
      </c>
    </row>
  </sheetData>
  <mergeCells count="2">
    <mergeCell ref="A52:A55"/>
    <mergeCell ref="A20:D20"/>
  </mergeCells>
  <hyperlinks>
    <hyperlink ref="C33" r:id="rId1" xr:uid="{FD7AD492-DCF3-46C9-B036-12D7BAFFC43A}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13</vt:i4>
      </vt:variant>
    </vt:vector>
  </HeadingPairs>
  <TitlesOfParts>
    <vt:vector size="31" baseType="lpstr">
      <vt:lpstr>Дог.</vt:lpstr>
      <vt:lpstr>Пр №1</vt:lpstr>
      <vt:lpstr>Акт прием</vt:lpstr>
      <vt:lpstr>Акт расч</vt:lpstr>
      <vt:lpstr>Акт возв</vt:lpstr>
      <vt:lpstr>Акт слом</vt:lpstr>
      <vt:lpstr>Обяз</vt:lpstr>
      <vt:lpstr>Счет </vt:lpstr>
      <vt:lpstr>Фактура</vt:lpstr>
      <vt:lpstr>ПКО</vt:lpstr>
      <vt:lpstr>РКО</vt:lpstr>
      <vt:lpstr>Пасп Доп Данные</vt:lpstr>
      <vt:lpstr>Треб1</vt:lpstr>
      <vt:lpstr>Треб2</vt:lpstr>
      <vt:lpstr>Обоснование</vt:lpstr>
      <vt:lpstr>Письма</vt:lpstr>
      <vt:lpstr>В милицию</vt:lpstr>
      <vt:lpstr>Фразы для Ватсапа</vt:lpstr>
      <vt:lpstr>'Акт прием'!Область_печати</vt:lpstr>
      <vt:lpstr>'Акт расч'!Область_печати</vt:lpstr>
      <vt:lpstr>Дог.!Область_печати</vt:lpstr>
      <vt:lpstr>Обоснование!Область_печати</vt:lpstr>
      <vt:lpstr>Обяз!Область_печати</vt:lpstr>
      <vt:lpstr>'Пасп Доп Данные'!Область_печати</vt:lpstr>
      <vt:lpstr>Письма!Область_печати</vt:lpstr>
      <vt:lpstr>ПКО!Область_печати</vt:lpstr>
      <vt:lpstr>'Пр №1'!Область_печати</vt:lpstr>
      <vt:lpstr>РКО!Область_печати</vt:lpstr>
      <vt:lpstr>'Счет '!Область_печати</vt:lpstr>
      <vt:lpstr>Треб1!Область_печати</vt:lpstr>
      <vt:lpstr>Фактура!Область_печати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2025-11-21T12:58:25Z</dcterms:modified>
</cp:coreProperties>
</file>